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ocuments\_1_research\_18_renodat-project\Delivrables\D1.1\data\"/>
    </mc:Choice>
  </mc:AlternateContent>
  <xr:revisionPtr revIDLastSave="0" documentId="13_ncr:1_{FBBCD371-D06C-4FD6-8E31-83FEB52BC45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1" sheetId="1" r:id="rId1"/>
    <sheet name="M2" sheetId="2" r:id="rId2"/>
    <sheet name="M3.1" sheetId="3" r:id="rId3"/>
    <sheet name="M3.2" sheetId="4" r:id="rId4"/>
    <sheet name="M4" sheetId="5" r:id="rId5"/>
    <sheet name="M5" sheetId="6" r:id="rId6"/>
    <sheet name="M6" sheetId="7" r:id="rId7"/>
    <sheet name="M7" sheetId="8" r:id="rId8"/>
    <sheet name="M8" sheetId="9" r:id="rId9"/>
    <sheet name="M9" sheetId="20" r:id="rId10"/>
    <sheet name="M10" sheetId="10" r:id="rId11"/>
    <sheet name="M11.1" sheetId="11" r:id="rId12"/>
    <sheet name="M11.2" sheetId="12" r:id="rId13"/>
    <sheet name="M11.3" sheetId="13" r:id="rId14"/>
    <sheet name="M11.4" sheetId="14" r:id="rId15"/>
    <sheet name="M11.5" sheetId="15" r:id="rId16"/>
    <sheet name="M11.6" sheetId="16" r:id="rId17"/>
    <sheet name="M12.1" sheetId="17" r:id="rId18"/>
    <sheet name="M12.2" sheetId="18" r:id="rId19"/>
    <sheet name="M13" sheetId="19" r:id="rId20"/>
    <sheet name="Fields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" i="20" l="1"/>
  <c r="Q32" i="20" s="1"/>
  <c r="P30" i="20"/>
  <c r="Q30" i="20" s="1"/>
  <c r="P28" i="20"/>
  <c r="Q28" i="20" s="1"/>
  <c r="P27" i="20"/>
  <c r="Q27" i="20" s="1"/>
  <c r="P26" i="20"/>
  <c r="Q26" i="20" s="1"/>
  <c r="P25" i="20"/>
  <c r="Q25" i="20" s="1"/>
  <c r="P24" i="20"/>
  <c r="Q24" i="20" s="1"/>
  <c r="P23" i="20"/>
  <c r="Q23" i="20" s="1"/>
  <c r="P22" i="20"/>
  <c r="Q22" i="20" s="1"/>
  <c r="P21" i="20"/>
  <c r="Q21" i="20" s="1"/>
  <c r="P20" i="20"/>
  <c r="Q20" i="20" s="1"/>
  <c r="P19" i="20"/>
  <c r="Q19" i="20" s="1"/>
  <c r="P18" i="20"/>
  <c r="Q18" i="20" s="1"/>
  <c r="P16" i="20"/>
  <c r="Q16" i="20" s="1"/>
  <c r="P14" i="20"/>
  <c r="Q14" i="20" s="1"/>
  <c r="P13" i="20"/>
  <c r="Q13" i="20" s="1"/>
  <c r="P12" i="20"/>
  <c r="Q12" i="20" s="1"/>
  <c r="P11" i="20"/>
  <c r="Q11" i="20" s="1"/>
  <c r="P10" i="20"/>
  <c r="Q10" i="20" s="1"/>
  <c r="P9" i="20"/>
  <c r="Q9" i="20" s="1"/>
  <c r="P8" i="20"/>
  <c r="Q8" i="20" s="1"/>
  <c r="P7" i="20"/>
  <c r="Q7" i="20" s="1"/>
  <c r="Q6" i="20"/>
  <c r="P6" i="20"/>
  <c r="P4" i="20"/>
  <c r="Q4" i="20" s="1"/>
  <c r="P2" i="20"/>
  <c r="Q2" i="20" s="1"/>
  <c r="P37" i="19"/>
  <c r="Q37" i="19" s="1"/>
  <c r="P36" i="19"/>
  <c r="Q36" i="19" s="1"/>
  <c r="P35" i="19"/>
  <c r="Q35" i="19" s="1"/>
  <c r="P33" i="19"/>
  <c r="Q33" i="19" s="1"/>
  <c r="P32" i="19"/>
  <c r="Q32" i="19" s="1"/>
  <c r="P30" i="19"/>
  <c r="Q30" i="19" s="1"/>
  <c r="P29" i="19"/>
  <c r="Q29" i="19" s="1"/>
  <c r="P28" i="19"/>
  <c r="Q28" i="19" s="1"/>
  <c r="P27" i="19"/>
  <c r="Q27" i="19" s="1"/>
  <c r="P26" i="19"/>
  <c r="Q26" i="19" s="1"/>
  <c r="P24" i="19"/>
  <c r="Q24" i="19" s="1"/>
  <c r="P23" i="19"/>
  <c r="Q23" i="19" s="1"/>
  <c r="P22" i="19"/>
  <c r="Q22" i="19" s="1"/>
  <c r="Q21" i="19"/>
  <c r="P21" i="19"/>
  <c r="P20" i="19"/>
  <c r="Q20" i="19" s="1"/>
  <c r="P19" i="19"/>
  <c r="Q19" i="19" s="1"/>
  <c r="P18" i="19"/>
  <c r="Q18" i="19" s="1"/>
  <c r="P16" i="19"/>
  <c r="Q16" i="19" s="1"/>
  <c r="Q15" i="19"/>
  <c r="P15" i="19"/>
  <c r="P14" i="19"/>
  <c r="Q14" i="19" s="1"/>
  <c r="P13" i="19"/>
  <c r="Q13" i="19" s="1"/>
  <c r="Q11" i="19"/>
  <c r="P11" i="19"/>
  <c r="P10" i="19"/>
  <c r="Q10" i="19" s="1"/>
  <c r="P9" i="19"/>
  <c r="Q9" i="19" s="1"/>
  <c r="P8" i="19"/>
  <c r="Q8" i="19" s="1"/>
  <c r="P4" i="19"/>
  <c r="Q4" i="19" s="1"/>
  <c r="Q2" i="19"/>
  <c r="P2" i="19"/>
  <c r="P30" i="18"/>
  <c r="Q30" i="18" s="1"/>
  <c r="P29" i="18"/>
  <c r="Q29" i="18" s="1"/>
  <c r="P27" i="18"/>
  <c r="Q27" i="18" s="1"/>
  <c r="P26" i="18"/>
  <c r="Q26" i="18" s="1"/>
  <c r="P24" i="18"/>
  <c r="Q24" i="18" s="1"/>
  <c r="Q23" i="18"/>
  <c r="P23" i="18"/>
  <c r="P21" i="18"/>
  <c r="Q21" i="18" s="1"/>
  <c r="Q20" i="18"/>
  <c r="P20" i="18"/>
  <c r="P19" i="18"/>
  <c r="Q19" i="18" s="1"/>
  <c r="P17" i="18"/>
  <c r="Q17" i="18" s="1"/>
  <c r="P16" i="18"/>
  <c r="Q16" i="18" s="1"/>
  <c r="P15" i="18"/>
  <c r="Q15" i="18" s="1"/>
  <c r="P14" i="18"/>
  <c r="Q14" i="18" s="1"/>
  <c r="P13" i="18"/>
  <c r="Q13" i="18" s="1"/>
  <c r="P11" i="18"/>
  <c r="Q11" i="18" s="1"/>
  <c r="Q10" i="18"/>
  <c r="P10" i="18"/>
  <c r="P9" i="18"/>
  <c r="Q9" i="18" s="1"/>
  <c r="P8" i="18"/>
  <c r="Q8" i="18" s="1"/>
  <c r="P7" i="18"/>
  <c r="Q7" i="18" s="1"/>
  <c r="P6" i="18"/>
  <c r="Q6" i="18" s="1"/>
  <c r="P5" i="18"/>
  <c r="Q5" i="18" s="1"/>
  <c r="P4" i="18"/>
  <c r="Q4" i="18" s="1"/>
  <c r="P3" i="18"/>
  <c r="Q3" i="18" s="1"/>
  <c r="P31" i="17"/>
  <c r="Q31" i="17" s="1"/>
  <c r="P30" i="17"/>
  <c r="Q30" i="17" s="1"/>
  <c r="P29" i="17"/>
  <c r="Q29" i="17" s="1"/>
  <c r="P27" i="17"/>
  <c r="Q27" i="17" s="1"/>
  <c r="P26" i="17"/>
  <c r="Q26" i="17" s="1"/>
  <c r="P25" i="17"/>
  <c r="Q25" i="17" s="1"/>
  <c r="Q24" i="17"/>
  <c r="P24" i="17"/>
  <c r="P22" i="17"/>
  <c r="Q22" i="17" s="1"/>
  <c r="Q20" i="17"/>
  <c r="P20" i="17"/>
  <c r="P18" i="17"/>
  <c r="Q18" i="17" s="1"/>
  <c r="P17" i="17"/>
  <c r="Q17" i="17" s="1"/>
  <c r="P14" i="17"/>
  <c r="Q14" i="17" s="1"/>
  <c r="P13" i="17"/>
  <c r="Q13" i="17" s="1"/>
  <c r="P12" i="17"/>
  <c r="Q12" i="17" s="1"/>
  <c r="Q11" i="17"/>
  <c r="P11" i="17"/>
  <c r="P10" i="17"/>
  <c r="Q10" i="17" s="1"/>
  <c r="P9" i="17"/>
  <c r="Q9" i="17" s="1"/>
  <c r="P8" i="17"/>
  <c r="Q8" i="17" s="1"/>
  <c r="P6" i="17"/>
  <c r="Q6" i="17" s="1"/>
  <c r="P5" i="17"/>
  <c r="Q5" i="17" s="1"/>
  <c r="P4" i="17"/>
  <c r="Q4" i="17" s="1"/>
  <c r="P3" i="17"/>
  <c r="Q3" i="17" s="1"/>
  <c r="P9" i="16"/>
  <c r="Q9" i="16" s="1"/>
  <c r="P8" i="16"/>
  <c r="Q8" i="16" s="1"/>
  <c r="P6" i="16"/>
  <c r="Q6" i="16" s="1"/>
  <c r="P5" i="16"/>
  <c r="Q5" i="16" s="1"/>
  <c r="P4" i="16"/>
  <c r="Q4" i="16" s="1"/>
  <c r="P3" i="16"/>
  <c r="Q3" i="16" s="1"/>
  <c r="P4" i="15"/>
  <c r="Q4" i="15" s="1"/>
  <c r="P3" i="15"/>
  <c r="Q3" i="15" s="1"/>
  <c r="P8" i="14"/>
  <c r="Q8" i="14" s="1"/>
  <c r="P7" i="14"/>
  <c r="Q7" i="14" s="1"/>
  <c r="P6" i="14"/>
  <c r="Q6" i="14" s="1"/>
  <c r="P4" i="14"/>
  <c r="Q4" i="14" s="1"/>
  <c r="P3" i="14"/>
  <c r="Q3" i="14" s="1"/>
  <c r="P10" i="13"/>
  <c r="Q10" i="13" s="1"/>
  <c r="P9" i="13"/>
  <c r="Q9" i="13" s="1"/>
  <c r="P8" i="13"/>
  <c r="Q8" i="13" s="1"/>
  <c r="Q6" i="13"/>
  <c r="P6" i="13"/>
  <c r="P4" i="13"/>
  <c r="Q4" i="13" s="1"/>
  <c r="P3" i="13"/>
  <c r="Q3" i="13" s="1"/>
  <c r="P27" i="12"/>
  <c r="Q27" i="12" s="1"/>
  <c r="P25" i="12"/>
  <c r="Q25" i="12" s="1"/>
  <c r="P23" i="12"/>
  <c r="Q23" i="12" s="1"/>
  <c r="P21" i="12"/>
  <c r="Q21" i="12" s="1"/>
  <c r="P19" i="12"/>
  <c r="Q19" i="12" s="1"/>
  <c r="P17" i="12"/>
  <c r="Q17" i="12" s="1"/>
  <c r="P15" i="12"/>
  <c r="Q15" i="12" s="1"/>
  <c r="P13" i="12"/>
  <c r="Q13" i="12" s="1"/>
  <c r="P11" i="12"/>
  <c r="Q11" i="12" s="1"/>
  <c r="P10" i="12"/>
  <c r="Q10" i="12" s="1"/>
  <c r="P9" i="12"/>
  <c r="Q9" i="12" s="1"/>
  <c r="P8" i="12"/>
  <c r="Q8" i="12" s="1"/>
  <c r="P7" i="12"/>
  <c r="Q7" i="12" s="1"/>
  <c r="P5" i="12"/>
  <c r="Q5" i="12" s="1"/>
  <c r="P3" i="12"/>
  <c r="Q3" i="12" s="1"/>
  <c r="Q21" i="11"/>
  <c r="P21" i="11"/>
  <c r="P20" i="11"/>
  <c r="Q20" i="11" s="1"/>
  <c r="P19" i="11"/>
  <c r="Q19" i="11" s="1"/>
  <c r="P17" i="11"/>
  <c r="Q17" i="11" s="1"/>
  <c r="P16" i="11"/>
  <c r="Q16" i="11" s="1"/>
  <c r="P15" i="11"/>
  <c r="Q15" i="11" s="1"/>
  <c r="P13" i="11"/>
  <c r="Q13" i="11" s="1"/>
  <c r="P11" i="11"/>
  <c r="Q11" i="11" s="1"/>
  <c r="P8" i="11"/>
  <c r="Q8" i="11" s="1"/>
  <c r="P6" i="11"/>
  <c r="Q6" i="11" s="1"/>
  <c r="P5" i="11"/>
  <c r="Q5" i="11" s="1"/>
  <c r="P3" i="11"/>
  <c r="Q3" i="11" s="1"/>
  <c r="P31" i="10"/>
  <c r="Q31" i="10" s="1"/>
  <c r="P29" i="10"/>
  <c r="Q29" i="10" s="1"/>
  <c r="Q27" i="10"/>
  <c r="P27" i="10"/>
  <c r="P26" i="10"/>
  <c r="Q26" i="10" s="1"/>
  <c r="Q24" i="10"/>
  <c r="P24" i="10"/>
  <c r="P22" i="10"/>
  <c r="Q22" i="10" s="1"/>
  <c r="P20" i="10"/>
  <c r="Q20" i="10" s="1"/>
  <c r="P18" i="10"/>
  <c r="Q18" i="10" s="1"/>
  <c r="P16" i="10"/>
  <c r="Q16" i="10" s="1"/>
  <c r="P14" i="10"/>
  <c r="Q14" i="10" s="1"/>
  <c r="Q12" i="10"/>
  <c r="P12" i="10"/>
  <c r="P10" i="10"/>
  <c r="Q10" i="10" s="1"/>
  <c r="P8" i="10"/>
  <c r="Q8" i="10" s="1"/>
  <c r="P7" i="10"/>
  <c r="Q7" i="10" s="1"/>
  <c r="P5" i="10"/>
  <c r="Q5" i="10" s="1"/>
  <c r="P4" i="10"/>
  <c r="Q4" i="10" s="1"/>
  <c r="P3" i="10"/>
  <c r="Q3" i="10" s="1"/>
  <c r="P41" i="9"/>
  <c r="Q41" i="9" s="1"/>
  <c r="P40" i="9"/>
  <c r="Q40" i="9" s="1"/>
  <c r="P39" i="9"/>
  <c r="Q39" i="9" s="1"/>
  <c r="P37" i="9"/>
  <c r="Q37" i="9" s="1"/>
  <c r="P36" i="9"/>
  <c r="Q36" i="9" s="1"/>
  <c r="P35" i="9"/>
  <c r="Q35" i="9" s="1"/>
  <c r="P33" i="9"/>
  <c r="Q33" i="9" s="1"/>
  <c r="P32" i="9"/>
  <c r="Q32" i="9" s="1"/>
  <c r="P31" i="9"/>
  <c r="Q31" i="9" s="1"/>
  <c r="P29" i="9"/>
  <c r="Q29" i="9" s="1"/>
  <c r="P28" i="9"/>
  <c r="Q28" i="9" s="1"/>
  <c r="Q27" i="9"/>
  <c r="P27" i="9"/>
  <c r="P26" i="9"/>
  <c r="Q26" i="9" s="1"/>
  <c r="P25" i="9"/>
  <c r="Q25" i="9" s="1"/>
  <c r="P24" i="9"/>
  <c r="Q24" i="9" s="1"/>
  <c r="P23" i="9"/>
  <c r="Q23" i="9" s="1"/>
  <c r="P21" i="9"/>
  <c r="Q21" i="9" s="1"/>
  <c r="P20" i="9"/>
  <c r="Q20" i="9" s="1"/>
  <c r="P19" i="9"/>
  <c r="Q19" i="9" s="1"/>
  <c r="Q18" i="9"/>
  <c r="P18" i="9"/>
  <c r="P17" i="9"/>
  <c r="Q17" i="9" s="1"/>
  <c r="P16" i="9"/>
  <c r="Q16" i="9" s="1"/>
  <c r="P15" i="9"/>
  <c r="Q15" i="9" s="1"/>
  <c r="P14" i="9"/>
  <c r="Q14" i="9" s="1"/>
  <c r="P13" i="9"/>
  <c r="Q13" i="9" s="1"/>
  <c r="P11" i="9"/>
  <c r="Q11" i="9" s="1"/>
  <c r="P10" i="9"/>
  <c r="Q10" i="9" s="1"/>
  <c r="P8" i="9"/>
  <c r="Q8" i="9" s="1"/>
  <c r="P7" i="9"/>
  <c r="Q7" i="9" s="1"/>
  <c r="P6" i="9"/>
  <c r="Q6" i="9" s="1"/>
  <c r="P5" i="9"/>
  <c r="Q5" i="9" s="1"/>
  <c r="P4" i="9"/>
  <c r="Q4" i="9" s="1"/>
  <c r="P3" i="9"/>
  <c r="Q3" i="9" s="1"/>
  <c r="P24" i="8"/>
  <c r="Q24" i="8" s="1"/>
  <c r="P23" i="8"/>
  <c r="Q23" i="8" s="1"/>
  <c r="P21" i="8"/>
  <c r="Q21" i="8" s="1"/>
  <c r="P19" i="8"/>
  <c r="Q19" i="8" s="1"/>
  <c r="P17" i="8"/>
  <c r="Q17" i="8" s="1"/>
  <c r="P16" i="8"/>
  <c r="Q16" i="8" s="1"/>
  <c r="P14" i="8"/>
  <c r="Q14" i="8" s="1"/>
  <c r="P11" i="8"/>
  <c r="Q11" i="8" s="1"/>
  <c r="P10" i="8"/>
  <c r="Q10" i="8" s="1"/>
  <c r="P8" i="8"/>
  <c r="Q8" i="8" s="1"/>
  <c r="P6" i="8"/>
  <c r="Q6" i="8" s="1"/>
  <c r="P3" i="8"/>
  <c r="Q3" i="8" s="1"/>
  <c r="P2" i="8"/>
  <c r="Q2" i="8" s="1"/>
  <c r="P30" i="7"/>
  <c r="Q30" i="7" s="1"/>
  <c r="P28" i="7"/>
  <c r="Q28" i="7" s="1"/>
  <c r="P26" i="7"/>
  <c r="Q26" i="7" s="1"/>
  <c r="P25" i="7"/>
  <c r="Q25" i="7" s="1"/>
  <c r="P24" i="7"/>
  <c r="Q24" i="7" s="1"/>
  <c r="P23" i="7"/>
  <c r="Q23" i="7" s="1"/>
  <c r="P21" i="7"/>
  <c r="Q21" i="7" s="1"/>
  <c r="P19" i="7"/>
  <c r="Q19" i="7" s="1"/>
  <c r="P17" i="7"/>
  <c r="Q17" i="7" s="1"/>
  <c r="P15" i="7"/>
  <c r="Q15" i="7" s="1"/>
  <c r="P13" i="7"/>
  <c r="Q13" i="7" s="1"/>
  <c r="P12" i="7"/>
  <c r="Q12" i="7" s="1"/>
  <c r="P10" i="7"/>
  <c r="Q10" i="7" s="1"/>
  <c r="P9" i="7"/>
  <c r="Q9" i="7" s="1"/>
  <c r="P7" i="7"/>
  <c r="Q7" i="7" s="1"/>
  <c r="P6" i="7"/>
  <c r="Q6" i="7" s="1"/>
  <c r="P5" i="7"/>
  <c r="Q5" i="7" s="1"/>
  <c r="P4" i="7"/>
  <c r="Q4" i="7" s="1"/>
  <c r="P3" i="7"/>
  <c r="Q3" i="7" s="1"/>
  <c r="P40" i="5"/>
  <c r="Q40" i="5" s="1"/>
  <c r="P38" i="5"/>
  <c r="Q38" i="5" s="1"/>
  <c r="P37" i="5"/>
  <c r="Q37" i="5" s="1"/>
  <c r="P36" i="5"/>
  <c r="Q36" i="5" s="1"/>
  <c r="P35" i="5"/>
  <c r="Q35" i="5" s="1"/>
  <c r="P34" i="5"/>
  <c r="Q34" i="5" s="1"/>
  <c r="P33" i="5"/>
  <c r="Q33" i="5" s="1"/>
  <c r="P32" i="5"/>
  <c r="Q32" i="5" s="1"/>
  <c r="P30" i="5"/>
  <c r="Q30" i="5" s="1"/>
  <c r="P29" i="5"/>
  <c r="Q29" i="5" s="1"/>
  <c r="P28" i="5"/>
  <c r="Q28" i="5" s="1"/>
  <c r="P27" i="5"/>
  <c r="Q27" i="5" s="1"/>
  <c r="P26" i="5"/>
  <c r="Q26" i="5" s="1"/>
  <c r="P25" i="5"/>
  <c r="Q25" i="5" s="1"/>
  <c r="P24" i="5"/>
  <c r="Q24" i="5" s="1"/>
  <c r="P23" i="5"/>
  <c r="Q23" i="5" s="1"/>
  <c r="P21" i="5"/>
  <c r="Q21" i="5" s="1"/>
  <c r="P20" i="5"/>
  <c r="Q20" i="5" s="1"/>
  <c r="P19" i="5"/>
  <c r="Q19" i="5" s="1"/>
  <c r="P17" i="5"/>
  <c r="Q17" i="5" s="1"/>
  <c r="P16" i="5"/>
  <c r="Q16" i="5" s="1"/>
  <c r="P15" i="5"/>
  <c r="Q15" i="5" s="1"/>
  <c r="P13" i="5"/>
  <c r="Q13" i="5" s="1"/>
  <c r="P12" i="5"/>
  <c r="Q12" i="5" s="1"/>
  <c r="P10" i="5"/>
  <c r="Q10" i="5" s="1"/>
  <c r="P8" i="5"/>
  <c r="Q8" i="5" s="1"/>
  <c r="P6" i="5"/>
  <c r="Q6" i="5" s="1"/>
  <c r="P5" i="5"/>
  <c r="Q5" i="5" s="1"/>
  <c r="P4" i="5"/>
  <c r="Q4" i="5" s="1"/>
  <c r="P3" i="5"/>
  <c r="Q3" i="5" s="1"/>
  <c r="P42" i="4"/>
  <c r="Q42" i="4" s="1"/>
  <c r="P41" i="4"/>
  <c r="Q41" i="4" s="1"/>
  <c r="P40" i="4"/>
  <c r="Q40" i="4" s="1"/>
  <c r="P39" i="4"/>
  <c r="Q39" i="4" s="1"/>
  <c r="P37" i="4"/>
  <c r="Q37" i="4" s="1"/>
  <c r="P36" i="4"/>
  <c r="Q36" i="4" s="1"/>
  <c r="P35" i="4"/>
  <c r="Q35" i="4" s="1"/>
  <c r="P34" i="4"/>
  <c r="Q34" i="4" s="1"/>
  <c r="P33" i="4"/>
  <c r="Q33" i="4" s="1"/>
  <c r="P32" i="4"/>
  <c r="Q32" i="4" s="1"/>
  <c r="P31" i="4"/>
  <c r="Q31" i="4" s="1"/>
  <c r="P30" i="4"/>
  <c r="Q30" i="4" s="1"/>
  <c r="P29" i="4"/>
  <c r="Q29" i="4" s="1"/>
  <c r="P28" i="4"/>
  <c r="Q28" i="4" s="1"/>
  <c r="Q26" i="4"/>
  <c r="P26" i="4"/>
  <c r="P25" i="4"/>
  <c r="Q25" i="4" s="1"/>
  <c r="P24" i="4"/>
  <c r="Q24" i="4" s="1"/>
  <c r="P23" i="4"/>
  <c r="Q23" i="4" s="1"/>
  <c r="P21" i="4"/>
  <c r="Q21" i="4" s="1"/>
  <c r="P18" i="4"/>
  <c r="Q18" i="4" s="1"/>
  <c r="P17" i="4"/>
  <c r="Q17" i="4" s="1"/>
  <c r="P16" i="4"/>
  <c r="Q16" i="4" s="1"/>
  <c r="P13" i="4"/>
  <c r="Q13" i="4" s="1"/>
  <c r="P10" i="4"/>
  <c r="Q10" i="4" s="1"/>
  <c r="P9" i="4"/>
  <c r="Q9" i="4" s="1"/>
  <c r="P8" i="4"/>
  <c r="Q8" i="4" s="1"/>
  <c r="P7" i="4"/>
  <c r="Q7" i="4" s="1"/>
  <c r="P6" i="4"/>
  <c r="Q6" i="4" s="1"/>
  <c r="P5" i="4"/>
  <c r="Q5" i="4" s="1"/>
  <c r="P3" i="4"/>
  <c r="Q3" i="4" s="1"/>
  <c r="P33" i="3"/>
  <c r="Q33" i="3" s="1"/>
  <c r="P32" i="3"/>
  <c r="Q32" i="3" s="1"/>
  <c r="P31" i="3"/>
  <c r="Q31" i="3" s="1"/>
  <c r="P30" i="3"/>
  <c r="Q30" i="3" s="1"/>
  <c r="P29" i="3"/>
  <c r="Q29" i="3" s="1"/>
  <c r="P28" i="3"/>
  <c r="Q28" i="3" s="1"/>
  <c r="P27" i="3"/>
  <c r="Q27" i="3" s="1"/>
  <c r="P26" i="3"/>
  <c r="Q26" i="3" s="1"/>
  <c r="P25" i="3"/>
  <c r="Q25" i="3" s="1"/>
  <c r="P24" i="3"/>
  <c r="Q24" i="3" s="1"/>
  <c r="P23" i="3"/>
  <c r="Q23" i="3" s="1"/>
  <c r="P22" i="3"/>
  <c r="Q22" i="3" s="1"/>
  <c r="P21" i="3"/>
  <c r="Q21" i="3" s="1"/>
  <c r="P20" i="3"/>
  <c r="Q20" i="3" s="1"/>
  <c r="P19" i="3"/>
  <c r="Q19" i="3" s="1"/>
  <c r="P18" i="3"/>
  <c r="Q18" i="3" s="1"/>
  <c r="P17" i="3"/>
  <c r="Q17" i="3" s="1"/>
  <c r="P16" i="3"/>
  <c r="Q16" i="3" s="1"/>
  <c r="P15" i="3"/>
  <c r="Q15" i="3" s="1"/>
  <c r="P14" i="3"/>
  <c r="Q14" i="3" s="1"/>
  <c r="P13" i="3"/>
  <c r="Q13" i="3" s="1"/>
  <c r="P12" i="3"/>
  <c r="Q12" i="3" s="1"/>
  <c r="P10" i="3"/>
  <c r="Q10" i="3" s="1"/>
  <c r="P9" i="3"/>
  <c r="Q9" i="3" s="1"/>
  <c r="P8" i="3"/>
  <c r="Q8" i="3" s="1"/>
  <c r="P7" i="3"/>
  <c r="Q7" i="3" s="1"/>
  <c r="P6" i="3"/>
  <c r="Q6" i="3" s="1"/>
  <c r="P5" i="3"/>
  <c r="Q5" i="3" s="1"/>
  <c r="P4" i="3"/>
  <c r="Q4" i="3" s="1"/>
  <c r="P3" i="3"/>
  <c r="Q3" i="3" s="1"/>
  <c r="P33" i="2"/>
  <c r="Q33" i="2" s="1"/>
  <c r="P30" i="2"/>
  <c r="Q30" i="2" s="1"/>
  <c r="P29" i="2"/>
  <c r="Q29" i="2" s="1"/>
  <c r="P28" i="2"/>
  <c r="Q28" i="2" s="1"/>
  <c r="P27" i="2"/>
  <c r="Q27" i="2" s="1"/>
  <c r="P26" i="2"/>
  <c r="Q26" i="2" s="1"/>
  <c r="P25" i="2"/>
  <c r="Q25" i="2" s="1"/>
  <c r="P24" i="2"/>
  <c r="Q24" i="2" s="1"/>
  <c r="P22" i="2"/>
  <c r="Q22" i="2" s="1"/>
  <c r="P21" i="2"/>
  <c r="Q21" i="2" s="1"/>
  <c r="P20" i="2"/>
  <c r="Q20" i="2" s="1"/>
  <c r="P19" i="2"/>
  <c r="Q19" i="2" s="1"/>
  <c r="P18" i="2"/>
  <c r="Q18" i="2" s="1"/>
  <c r="P17" i="2"/>
  <c r="Q17" i="2" s="1"/>
  <c r="P16" i="2"/>
  <c r="Q16" i="2" s="1"/>
  <c r="P15" i="2"/>
  <c r="Q15" i="2" s="1"/>
  <c r="P14" i="2"/>
  <c r="Q14" i="2" s="1"/>
  <c r="P13" i="2"/>
  <c r="Q13" i="2" s="1"/>
  <c r="P12" i="2"/>
  <c r="Q12" i="2" s="1"/>
  <c r="P10" i="2"/>
  <c r="Q10" i="2" s="1"/>
  <c r="P6" i="2"/>
  <c r="Q6" i="2" s="1"/>
  <c r="P4" i="2"/>
  <c r="Q4" i="2" s="1"/>
  <c r="P3" i="2"/>
  <c r="Q3" i="2" s="1"/>
  <c r="P2" i="2"/>
  <c r="Q2" i="2" s="1"/>
  <c r="P11" i="1"/>
  <c r="Q11" i="1" s="1"/>
  <c r="P9" i="1"/>
  <c r="Q9" i="1" s="1"/>
  <c r="P8" i="1"/>
  <c r="Q8" i="1" s="1"/>
  <c r="P7" i="1"/>
  <c r="Q7" i="1" s="1"/>
  <c r="P6" i="1"/>
  <c r="Q6" i="1" s="1"/>
  <c r="P4" i="1"/>
  <c r="Q4" i="1" s="1"/>
  <c r="P3" i="1"/>
  <c r="Q3" i="1" s="1"/>
  <c r="P2" i="1"/>
  <c r="Q2" i="1" s="1"/>
  <c r="P5" i="6"/>
  <c r="Q5" i="6" s="1"/>
  <c r="P4" i="6"/>
  <c r="Q4" i="6" s="1"/>
  <c r="P3" i="6"/>
  <c r="Q3" i="6" s="1"/>
  <c r="P2" i="6"/>
  <c r="Q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Daan Schlosser</author>
  </authors>
  <commentList>
    <comment ref="W15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Daan Schlosser:
Same attribute as row 14. To distinguish dwelling vs. non-dwelling units, use BuildingUnit instances with type=CurrentUseValue (e.g. 'residential' vs. 'commercial').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tc={7FEF091E-034B-4E50-A56A-1AB3990336FA}</author>
  </authors>
  <commentList>
    <comment ref="A9" authorId="0" shapeId="0" xr:uid="{7FEF091E-034B-4E50-A56A-1AB3990336FA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part is missing?</t>
      </text>
    </comment>
  </commentList>
</comments>
</file>

<file path=xl/sharedStrings.xml><?xml version="1.0" encoding="utf-8"?>
<sst xmlns="http://schemas.openxmlformats.org/spreadsheetml/2006/main" count="10452" uniqueCount="1300">
  <si>
    <t>Module 1: Identification &amp; administrative details</t>
  </si>
  <si>
    <t>EUB SuperHub DBL</t>
  </si>
  <si>
    <t>ALDREN</t>
  </si>
  <si>
    <t>Goméz-Gil et al.</t>
  </si>
  <si>
    <t>iBRoad</t>
  </si>
  <si>
    <t>Woningpas</t>
  </si>
  <si>
    <t>X-tendo</t>
  </si>
  <si>
    <t>EU DBL (by Ecorys)</t>
  </si>
  <si>
    <t>BUILDCHAIN</t>
  </si>
  <si>
    <t>OneClickReno</t>
  </si>
  <si>
    <t>Vabi</t>
  </si>
  <si>
    <t>TheEarlyBirds</t>
  </si>
  <si>
    <t>CLÉA</t>
  </si>
  <si>
    <t>ISFP</t>
  </si>
  <si>
    <t>Hoomdossier</t>
  </si>
  <si>
    <t>Total</t>
  </si>
  <si>
    <t>Percentage</t>
  </si>
  <si>
    <t>BRP Relevance</t>
  </si>
  <si>
    <t>BRP Reason</t>
  </si>
  <si>
    <t>Namespace</t>
  </si>
  <si>
    <t>Module</t>
  </si>
  <si>
    <t>Class</t>
  </si>
  <si>
    <t>Attribute</t>
  </si>
  <si>
    <t>Type</t>
  </si>
  <si>
    <t>Building address details</t>
  </si>
  <si>
    <t>✔</t>
  </si>
  <si>
    <t>Yes</t>
  </si>
  <si>
    <t>Core identification</t>
  </si>
  <si>
    <t>core</t>
  </si>
  <si>
    <t>Core</t>
  </si>
  <si>
    <t>Address</t>
  </si>
  <si>
    <t>Multiple</t>
  </si>
  <si>
    <t xml:space="preserve">Building identification (Cadastral/INSPIRE) </t>
  </si>
  <si>
    <t>✗</t>
  </si>
  <si>
    <t>nrg</t>
  </si>
  <si>
    <t>_CityObject</t>
  </si>
  <si>
    <t>identifier</t>
  </si>
  <si>
    <t>Code [0..1]</t>
  </si>
  <si>
    <t>Ownership details and occupancy details</t>
  </si>
  <si>
    <t>Decision-maker context</t>
  </si>
  <si>
    <t>Building</t>
  </si>
  <si>
    <t>_AbstractBuilding</t>
  </si>
  <si>
    <t>bdgOwnerName</t>
  </si>
  <si>
    <t>CharacterString [0..1]</t>
  </si>
  <si>
    <t>bdgOwnershipType</t>
  </si>
  <si>
    <t>OwnershipTypeValue [0..1]</t>
  </si>
  <si>
    <t>Geospatial Coordinates (latitude, longitude, altitude)</t>
  </si>
  <si>
    <t>Locating the asset for energy/climate context</t>
  </si>
  <si>
    <t>referencePoint</t>
  </si>
  <si>
    <t>GM_Point [0..1]</t>
  </si>
  <si>
    <t>DBL author/ assessor qualifications and information</t>
  </si>
  <si>
    <t>Data provenance for trust in renovation advice</t>
  </si>
  <si>
    <t>DataTypes</t>
  </si>
  <si>
    <t>Metadata</t>
  </si>
  <si>
    <t>Details on the building with building-unit relation</t>
  </si>
  <si>
    <t>Needed for multi-unit renovation</t>
  </si>
  <si>
    <t>BuildingUnit</t>
  </si>
  <si>
    <t>N/A (done by composition)</t>
  </si>
  <si>
    <t>Timestamps on collection, provision or modification**</t>
  </si>
  <si>
    <t>Data freshness for staged renovation</t>
  </si>
  <si>
    <t>AbstractADEFeature</t>
  </si>
  <si>
    <t>creationDate</t>
  </si>
  <si>
    <t>Date [0..1]</t>
  </si>
  <si>
    <t>terminationDate</t>
  </si>
  <si>
    <t>Building owner address details</t>
  </si>
  <si>
    <t>No</t>
  </si>
  <si>
    <t>Not relevant to also store, since this doesn't pertain to the building itself, but another</t>
  </si>
  <si>
    <t>Module 2: General building statistics</t>
  </si>
  <si>
    <t>Year of building construction</t>
  </si>
  <si>
    <t>Fundamental BRP attribute</t>
  </si>
  <si>
    <t>yearOfConstruction</t>
  </si>
  <si>
    <t>xs::gYear [0..1]</t>
  </si>
  <si>
    <t>Date of demolition</t>
  </si>
  <si>
    <t>Out of scope of long-term renovation planning</t>
  </si>
  <si>
    <t>yearOfDemolition</t>
  </si>
  <si>
    <t>Number of floors</t>
  </si>
  <si>
    <t>Geometry / system sizing</t>
  </si>
  <si>
    <t>storeysAboveGround</t>
  </si>
  <si>
    <t>xs::nonNegativeInteger [0..1]</t>
  </si>
  <si>
    <t>storeysBelowGround</t>
  </si>
  <si>
    <t>Year of last (major) renovation, and description</t>
  </si>
  <si>
    <t>BRP backbone</t>
  </si>
  <si>
    <t>Intervention</t>
  </si>
  <si>
    <t>interventionStartDate</t>
  </si>
  <si>
    <t>interventionEndDate</t>
  </si>
  <si>
    <t>type</t>
  </si>
  <si>
    <t>InterventionTypeValue</t>
  </si>
  <si>
    <t>action</t>
  </si>
  <si>
    <t>InterventionActionValue [0..1]</t>
  </si>
  <si>
    <t>Building use/function</t>
  </si>
  <si>
    <t>Drives demand profile</t>
  </si>
  <si>
    <t>function</t>
  </si>
  <si>
    <t>BuildingFunctionType [0..*]</t>
  </si>
  <si>
    <t>usage</t>
  </si>
  <si>
    <t>BuildingUsageType [0..*]</t>
  </si>
  <si>
    <t>Building type (MFH, SFH, office, etc.)</t>
  </si>
  <si>
    <t>Typology drives benchmarks</t>
  </si>
  <si>
    <t>bdgType</t>
  </si>
  <si>
    <t>BuildingTypeValue [0..1]</t>
  </si>
  <si>
    <t>Building name (or project name)</t>
  </si>
  <si>
    <t>Admin identification</t>
  </si>
  <si>
    <t>AbstractFeature</t>
  </si>
  <si>
    <t>name</t>
  </si>
  <si>
    <t>CodeType [0..*]</t>
  </si>
  <si>
    <t>Number of dwelling units</t>
  </si>
  <si>
    <t>Needed for multi-unit BRP</t>
  </si>
  <si>
    <t>bdgNumberOfBuildingUnits</t>
  </si>
  <si>
    <t>Integer [0..1]</t>
  </si>
  <si>
    <t>Number of total units (or as linked to)</t>
  </si>
  <si>
    <t>Multi-unit BRP</t>
  </si>
  <si>
    <t>Type of roof (flat, gabled, hipped)</t>
  </si>
  <si>
    <t>Envelope characteristic</t>
  </si>
  <si>
    <t>roofType</t>
  </si>
  <si>
    <t>RoofTypeType [0..1]</t>
  </si>
  <si>
    <t>Number of (specific type/ total) rooms</t>
  </si>
  <si>
    <t>Sizing / zoning input</t>
  </si>
  <si>
    <t>numberOfRooms</t>
  </si>
  <si>
    <t>Main orientation the building faces</t>
  </si>
  <si>
    <t>Solar gain / passive performance</t>
  </si>
  <si>
    <t>_BoundarySurface</t>
  </si>
  <si>
    <t>bdgBdrySurfAzimuth</t>
  </si>
  <si>
    <t>Angle [0..1]</t>
  </si>
  <si>
    <t>Details on barrier-free design (e.g. ramps)</t>
  </si>
  <si>
    <t>Accessibility, outside BRP energy/envelope core</t>
  </si>
  <si>
    <t>BuildingInstallation</t>
  </si>
  <si>
    <t>class</t>
  </si>
  <si>
    <t>BuildingInstallationClassType [0..1]</t>
  </si>
  <si>
    <t>Existence of elevators</t>
  </si>
  <si>
    <t>Energy-using technical system with replacement lifecycle</t>
  </si>
  <si>
    <t>Building state (new, in-design, existing, etc.)</t>
  </si>
  <si>
    <t>Renovation timing</t>
  </si>
  <si>
    <t xml:space="preserve">Core </t>
  </si>
  <si>
    <t>status</t>
  </si>
  <si>
    <t>StatusValue [0..1]</t>
  </si>
  <si>
    <t>The floor of the unit</t>
  </si>
  <si>
    <t>Needed for unit-level BRP</t>
  </si>
  <si>
    <t xml:space="preserve">Building </t>
  </si>
  <si>
    <t>floorNumberFrom</t>
  </si>
  <si>
    <t>Decimal [0..1]</t>
  </si>
  <si>
    <t>floorNumberTo</t>
  </si>
  <si>
    <t>Overall building conservation status (bad, good, etc.)</t>
  </si>
  <si>
    <t>Renovation prioritisation</t>
  </si>
  <si>
    <t>indicator</t>
  </si>
  <si>
    <t>Indicator [0..*]</t>
  </si>
  <si>
    <t>Number of (disabled) car parking spaces</t>
  </si>
  <si>
    <t>Outside BRP scope</t>
  </si>
  <si>
    <t>Transportation</t>
  </si>
  <si>
    <t>TrafficArea</t>
  </si>
  <si>
    <t>TrafficAreaFunctionType [0..*]</t>
  </si>
  <si>
    <t>Whether the building has any sort of historical status</t>
  </si>
  <si>
    <t>Major renovation constraint</t>
  </si>
  <si>
    <t>bdgIsProtected</t>
  </si>
  <si>
    <t>Boolean [0..1]</t>
  </si>
  <si>
    <t>Is the topmost floor heated?</t>
  </si>
  <si>
    <t>Envelope thermal status</t>
  </si>
  <si>
    <t>bdgAtticThermalStatus</t>
  </si>
  <si>
    <t>ThermalStatusValue [0..1]</t>
  </si>
  <si>
    <t>Whether the basement floor(s) is/are heated</t>
  </si>
  <si>
    <t>bdgBasementThermalStatus</t>
  </si>
  <si>
    <t>Expected building lifetime</t>
  </si>
  <si>
    <t>Long-term planning, however really depends on how this is determined</t>
  </si>
  <si>
    <t>AbstractFeatureWithLifeSpan</t>
  </si>
  <si>
    <t>validTo</t>
  </si>
  <si>
    <t>DateTime [0..1]</t>
  </si>
  <si>
    <t>If there are thermally (un)conditioned sport facilities</t>
  </si>
  <si>
    <t>Narrow use case, better to generalise</t>
  </si>
  <si>
    <t>AbstractZone</t>
  </si>
  <si>
    <t>CurrentUseValue</t>
  </si>
  <si>
    <t>isHeated</t>
  </si>
  <si>
    <t>isCooled</t>
  </si>
  <si>
    <t>Number of swimming pools, elevators, balconies</t>
  </si>
  <si>
    <t>Granular</t>
  </si>
  <si>
    <t>Devices</t>
  </si>
  <si>
    <t>AbstractDevice</t>
  </si>
  <si>
    <t>numberOfDevices</t>
  </si>
  <si>
    <t>Module 3: Envelope, construction &amp; materials, Part I</t>
  </si>
  <si>
    <t>High-level envelope &amp; construction</t>
  </si>
  <si>
    <t>The high-level type of construction</t>
  </si>
  <si>
    <t>Envelope</t>
  </si>
  <si>
    <t>Layered construction</t>
  </si>
  <si>
    <t>LayeredConstruction</t>
  </si>
  <si>
    <t>LayeredConstructionTypeValue [0..1]</t>
  </si>
  <si>
    <t>The high-level facade type (glass, steel, etc.)</t>
  </si>
  <si>
    <t>The main structure of the building</t>
  </si>
  <si>
    <t>bdgConstructionWeight</t>
  </si>
  <si>
    <t>ConstructionWeightValue [0..1]</t>
  </si>
  <si>
    <t>Identified damages (cracks, degradation, etc.)</t>
  </si>
  <si>
    <t>Drives renovation decisions, but it has to be clear/ measurable</t>
  </si>
  <si>
    <t>Identified post-catastrophic damages</t>
  </si>
  <si>
    <t>Details on thermal bridges</t>
  </si>
  <si>
    <t>Envelope performance</t>
  </si>
  <si>
    <t>bdgBdrySurfAdditionalThermalBridgeUValue</t>
  </si>
  <si>
    <t>Measure [0..1]</t>
  </si>
  <si>
    <t>Internal heat capacity per m²</t>
  </si>
  <si>
    <t>heatCapacity</t>
  </si>
  <si>
    <t>Infiltration rate (1/h)</t>
  </si>
  <si>
    <t>infiltrationRate</t>
  </si>
  <si>
    <t>Openings (Windows, Skylights, Doors)</t>
  </si>
  <si>
    <t>Only description of the necessity of describing openings</t>
  </si>
  <si>
    <t>N/A</t>
  </si>
  <si>
    <t>Meta-rule about describing openings, Not Applicable for the table</t>
  </si>
  <si>
    <t>Indication what kind of opening it is</t>
  </si>
  <si>
    <t>AbstractZoneOpening</t>
  </si>
  <si>
    <t>featureType</t>
  </si>
  <si>
    <t>Total area of the opening (m²)</t>
  </si>
  <si>
    <t>_Opening</t>
  </si>
  <si>
    <t>bdgOpnArea</t>
  </si>
  <si>
    <t>Area [0..1]</t>
  </si>
  <si>
    <t>g-value of the opening</t>
  </si>
  <si>
    <t>Solar gain / energy</t>
  </si>
  <si>
    <t>gValue</t>
  </si>
  <si>
    <t>Scale [0..1]</t>
  </si>
  <si>
    <t>Type of the window glazing (single, double, triple, etc.)</t>
  </si>
  <si>
    <t>Envelope / energy</t>
  </si>
  <si>
    <t>The type of sun shading (e.g. no shading, external, etc.)</t>
  </si>
  <si>
    <t>MovableShadingDevice</t>
  </si>
  <si>
    <t>ShadingDeviceTypeValue</t>
  </si>
  <si>
    <t>Frame to glass proportion/ percentage indication</t>
  </si>
  <si>
    <t>glazingRatio</t>
  </si>
  <si>
    <t>The materials of the opening, like frame, glazing, etc.</t>
  </si>
  <si>
    <t>Envelope (system-level, not LCA)</t>
  </si>
  <si>
    <t>SolidMaterial</t>
  </si>
  <si>
    <t>SolidMaterialTypeValue [0..1]</t>
  </si>
  <si>
    <t>Frame U-value (W/m²K)</t>
  </si>
  <si>
    <t>uValue</t>
  </si>
  <si>
    <t>Glazing U-value (W/m²K)</t>
  </si>
  <si>
    <t>Total U-value of the opening (W/m²K)</t>
  </si>
  <si>
    <t>Orientation of the opening</t>
  </si>
  <si>
    <t>Solar gain</t>
  </si>
  <si>
    <t>bdgOpnAzimuth</t>
  </si>
  <si>
    <t>Light Transmission (LT) factor</t>
  </si>
  <si>
    <t>Visual + solar</t>
  </si>
  <si>
    <t>transmittance</t>
  </si>
  <si>
    <t>Transmittance [0..*]</t>
  </si>
  <si>
    <t>Producer/ Brand</t>
  </si>
  <si>
    <t>Type-level identifier (consistent with M4 manufacturer)</t>
  </si>
  <si>
    <t>ExternalReference</t>
  </si>
  <si>
    <t>informationSystem</t>
  </si>
  <si>
    <t>Model number</t>
  </si>
  <si>
    <t>Type-level identifier (consistent with M4 model)</t>
  </si>
  <si>
    <t>Airtightness class</t>
  </si>
  <si>
    <t>Total height &amp; total width</t>
  </si>
  <si>
    <t>Replacement sizing</t>
  </si>
  <si>
    <t>geometry</t>
  </si>
  <si>
    <t>lod3MultiSurface</t>
  </si>
  <si>
    <t>Digital Product Passport</t>
  </si>
  <si>
    <t>Per-component reference</t>
  </si>
  <si>
    <t>Specific mention of images/photographs of the opening</t>
  </si>
  <si>
    <t>Granular evidence</t>
  </si>
  <si>
    <t>Quantity of identical openings</t>
  </si>
  <si>
    <t>Affects renovation cost estimate</t>
  </si>
  <si>
    <t>Source used (e.g. by inspection or by specifications)</t>
  </si>
  <si>
    <t>Data provenance</t>
  </si>
  <si>
    <t>source</t>
  </si>
  <si>
    <t>Description of the state of the opening (e.g. leaky)</t>
  </si>
  <si>
    <t>Renovation indicator</t>
  </si>
  <si>
    <t>Module 3: Envelope, construction &amp; materials, Part II</t>
  </si>
  <si>
    <t>Walls, Floor, Roof</t>
  </si>
  <si>
    <t>Wall orientation</t>
  </si>
  <si>
    <t>Envelope / solar gain</t>
  </si>
  <si>
    <t>bdgBdrySurfInclination</t>
  </si>
  <si>
    <t>Wall U-value (W/m²K)</t>
  </si>
  <si>
    <t xml:space="preserve">Layered construction </t>
  </si>
  <si>
    <t>Floor U-value (W/m²K)</t>
  </si>
  <si>
    <t>Roof U-value (W/m²K)</t>
  </si>
  <si>
    <t>Surface area(s) per type (m²)</t>
  </si>
  <si>
    <t>bdgBdrySurfTotalSurfaceArea</t>
  </si>
  <si>
    <t>Ordered layers (materials, thickness, etc.)</t>
  </si>
  <si>
    <t>Envelope build-up (renovation decisions)</t>
  </si>
  <si>
    <t>Layer</t>
  </si>
  <si>
    <t>Installation/renovation date</t>
  </si>
  <si>
    <t>Layer details</t>
  </si>
  <si>
    <t>Material of the layer</t>
  </si>
  <si>
    <t>Liquid</t>
  </si>
  <si>
    <t>LiquidTypeValue [0..1]</t>
  </si>
  <si>
    <t>Gas</t>
  </si>
  <si>
    <t>GasTypeValue [0..1]</t>
  </si>
  <si>
    <t>Layer thickness</t>
  </si>
  <si>
    <t>Envelope thermal</t>
  </si>
  <si>
    <t>thickness</t>
  </si>
  <si>
    <t>Measure</t>
  </si>
  <si>
    <t>Layer thermal capacity</t>
  </si>
  <si>
    <t>specificHeatCapacity</t>
  </si>
  <si>
    <t>Material weight (mass of each building element)</t>
  </si>
  <si>
    <t>Structural load constraint for renovation</t>
  </si>
  <si>
    <t>density</t>
  </si>
  <si>
    <t>Layer volume per material</t>
  </si>
  <si>
    <t>LCA quantity take-off</t>
  </si>
  <si>
    <t>Global Warming Potential (GWP) - embodied carbon</t>
  </si>
  <si>
    <t>LCA</t>
  </si>
  <si>
    <t>embodiedCarbon</t>
  </si>
  <si>
    <t>Total Renewable Primary Energy (PERT)</t>
  </si>
  <si>
    <t>Total non-Renewable Primary Energy (PENRT)</t>
  </si>
  <si>
    <t>Embodied energy coefficient</t>
  </si>
  <si>
    <t>embodiedEnergy</t>
  </si>
  <si>
    <t>Material library</t>
  </si>
  <si>
    <t>No details on materials</t>
  </si>
  <si>
    <t xml:space="preserve">Meta-row, Not Applicable </t>
  </si>
  <si>
    <t>Material type (&amp; subtype)</t>
  </si>
  <si>
    <t>Envelope / renovation</t>
  </si>
  <si>
    <t>Life span expectancy of building material</t>
  </si>
  <si>
    <t>Certificates, like a Environmental Product Declaration</t>
  </si>
  <si>
    <t>LCA-domain certificate, attachable but not analysable</t>
  </si>
  <si>
    <t>ExternalObjectReference</t>
  </si>
  <si>
    <t>uri</t>
  </si>
  <si>
    <t>URI</t>
  </si>
  <si>
    <t>Material thermal conductivity</t>
  </si>
  <si>
    <t>thermalConductivity</t>
  </si>
  <si>
    <t>Fire resistance class</t>
  </si>
  <si>
    <t>Code compliance, not BRP-core energy/envelope/structure</t>
  </si>
  <si>
    <t>Waste category</t>
  </si>
  <si>
    <t>LCA / end-of-life</t>
  </si>
  <si>
    <t>Resources</t>
  </si>
  <si>
    <t>Waste</t>
  </si>
  <si>
    <t>WasteTypeValue</t>
  </si>
  <si>
    <t>Chemical declaration</t>
  </si>
  <si>
    <t>Granular composition</t>
  </si>
  <si>
    <t>Global Trade Item Number (GTIN)</t>
  </si>
  <si>
    <t>Granular product identifier</t>
  </si>
  <si>
    <t>Material density</t>
  </si>
  <si>
    <t>Structural &amp; thermal-mass property</t>
  </si>
  <si>
    <t>Material vapour permeability</t>
  </si>
  <si>
    <t>Envelope moisture management</t>
  </si>
  <si>
    <t>permeance</t>
  </si>
  <si>
    <t>Reuse capacity description</t>
  </si>
  <si>
    <t>Circular / LCA</t>
  </si>
  <si>
    <t>isRecyclable</t>
  </si>
  <si>
    <t>Recycling capacity description</t>
  </si>
  <si>
    <t>Heat capacity</t>
  </si>
  <si>
    <t>Module 4: Technical systems</t>
  </si>
  <si>
    <t>System inventory ( Heating / DHW / Cooling / Ventilation / Lighting / Shading / BMS)</t>
  </si>
  <si>
    <t>Presence indicatable per system?</t>
  </si>
  <si>
    <t>Technical system inventory</t>
  </si>
  <si>
    <t>System category</t>
  </si>
  <si>
    <t>Technical systems</t>
  </si>
  <si>
    <t>DeviceOperation</t>
  </si>
  <si>
    <t>DeviceOperationTypeValue</t>
  </si>
  <si>
    <t>How grouped the system is (e.g. (de)centralised)</t>
  </si>
  <si>
    <t>ThermalDistribution</t>
  </si>
  <si>
    <t>distributionPerimeter</t>
  </si>
  <si>
    <t>DistributionPerimeterTypeValue [0..1]</t>
  </si>
  <si>
    <t>Served area / served units</t>
  </si>
  <si>
    <t>CityObjectRelation</t>
  </si>
  <si>
    <t>relationType</t>
  </si>
  <si>
    <t>RelationTypeValue</t>
  </si>
  <si>
    <t>System description field (e.g. its type)</t>
  </si>
  <si>
    <t>AbstractGMLType</t>
  </si>
  <si>
    <t>gml:description</t>
  </si>
  <si>
    <t>gml:StringOrRefType</t>
  </si>
  <si>
    <t>System description</t>
  </si>
  <si>
    <t>Energy carrier / source</t>
  </si>
  <si>
    <t>Energy performance</t>
  </si>
  <si>
    <t>Energy</t>
  </si>
  <si>
    <t>energyCarrier</t>
  </si>
  <si>
    <t>EnergyCarrierValue [0..1]</t>
  </si>
  <si>
    <t>EnergySourceValue [0..1]</t>
  </si>
  <si>
    <t>Technology / system type</t>
  </si>
  <si>
    <t>Distribution type / medium</t>
  </si>
  <si>
    <t>medium</t>
  </si>
  <si>
    <t>MediumTypeValue [0..1]</t>
  </si>
  <si>
    <t>Performance parameters</t>
  </si>
  <si>
    <t>Efficiency metric (e.g. heat recovery COP)</t>
  </si>
  <si>
    <t>efficiencyIndicator</t>
  </si>
  <si>
    <t>Rated capacity (e.g. in kW)</t>
  </si>
  <si>
    <t>System sizing</t>
  </si>
  <si>
    <t>installedPower</t>
  </si>
  <si>
    <t>Recorded efficiency value</t>
  </si>
  <si>
    <t>nominalEfficiency</t>
  </si>
  <si>
    <t>yearlyGlobalEfficiency</t>
  </si>
  <si>
    <t>Control / automation class (manual, fully integrated, etc.)</t>
  </si>
  <si>
    <t>Smart readiness</t>
  </si>
  <si>
    <t>Renewable contribution indicator</t>
  </si>
  <si>
    <t>Emissions factor / CO₂ intensity available</t>
  </si>
  <si>
    <t>AbstractResource</t>
  </si>
  <si>
    <t>co2Equivalent</t>
  </si>
  <si>
    <t>Asset identity &amp; lifecycle</t>
  </si>
  <si>
    <t>Manufacturer / producer</t>
  </si>
  <si>
    <t>Major-system attribute (replacement planning)</t>
  </si>
  <si>
    <t>externalReference</t>
  </si>
  <si>
    <t>ExternalReference [0..*]</t>
  </si>
  <si>
    <t>Model name/number</t>
  </si>
  <si>
    <t>model</t>
  </si>
  <si>
    <t>Installation year</t>
  </si>
  <si>
    <t>System lifecycle</t>
  </si>
  <si>
    <t>yearOfInstallation</t>
  </si>
  <si>
    <t>Unique asset ID / serial number</t>
  </si>
  <si>
    <t>Granular asset tracking</t>
  </si>
  <si>
    <t>Expected lifespan / end-of-life year</t>
  </si>
  <si>
    <t>Condition / state rating</t>
  </si>
  <si>
    <t>Maintenance record present</t>
  </si>
  <si>
    <t>Last maintenance / inspection date</t>
  </si>
  <si>
    <t>Metering, monitoring &amp; evidence</t>
  </si>
  <si>
    <t>System-level sub-metering available</t>
  </si>
  <si>
    <t>Energy performance evidence</t>
  </si>
  <si>
    <t>SensorData</t>
  </si>
  <si>
    <t>SensorDataTypeValue</t>
  </si>
  <si>
    <t>Annual energy use per system recorded</t>
  </si>
  <si>
    <t>amount</t>
  </si>
  <si>
    <t>Operational data available</t>
  </si>
  <si>
    <t>BMS/IoT integration link</t>
  </si>
  <si>
    <t>Time Series</t>
  </si>
  <si>
    <t>SensorConnection</t>
  </si>
  <si>
    <t>Documents attached for the system</t>
  </si>
  <si>
    <t>Evidence</t>
  </si>
  <si>
    <t>Evidence/source type</t>
  </si>
  <si>
    <t>acquisitionMethod</t>
  </si>
  <si>
    <t>DataAcquisitionMethodValue [0..1]</t>
  </si>
  <si>
    <t>Data collection date</t>
  </si>
  <si>
    <t>Data freshness</t>
  </si>
  <si>
    <t>RegularTimeSeries</t>
  </si>
  <si>
    <t>startTimestamp</t>
  </si>
  <si>
    <t>DateTime</t>
  </si>
  <si>
    <t>endTimestamp</t>
  </si>
  <si>
    <t>Recommended upgrade measure per system</t>
  </si>
  <si>
    <t>Module 5: Attachable documents</t>
  </si>
  <si>
    <t>Proprietary and/or open BIM/GEO formats</t>
  </si>
  <si>
    <t>Digital twin for renovation</t>
  </si>
  <si>
    <t>Regular documents (like PDFs)</t>
  </si>
  <si>
    <t>Metadata fields (e.g. issue date, issuer, document type)</t>
  </si>
  <si>
    <t>Provenance</t>
  </si>
  <si>
    <t>metadata</t>
  </si>
  <si>
    <t>Metadata [0..1]</t>
  </si>
  <si>
    <t>Image files</t>
  </si>
  <si>
    <t>Module 6: Dimensions</t>
  </si>
  <si>
    <t>Floor areas</t>
  </si>
  <si>
    <t>Net floor area (NFA)</t>
  </si>
  <si>
    <t>Energy performance reference</t>
  </si>
  <si>
    <t>bdgArea</t>
  </si>
  <si>
    <t>QualifiedArea [0..*]</t>
  </si>
  <si>
    <t>Heated/conditioned floor area</t>
  </si>
  <si>
    <t>Gross floor area (GFA)</t>
  </si>
  <si>
    <t>Geometry</t>
  </si>
  <si>
    <t>Cooled floor area</t>
  </si>
  <si>
    <t>Footprint (of ground floor) area</t>
  </si>
  <si>
    <t>Non-floor surface areas</t>
  </si>
  <si>
    <t>Total envelope surface area (derived sum)</t>
  </si>
  <si>
    <t>External wall area (total)</t>
  </si>
  <si>
    <t>Roof area (total)</t>
  </si>
  <si>
    <t>Window/glazing area (total)</t>
  </si>
  <si>
    <t>Door area</t>
  </si>
  <si>
    <t>Heights</t>
  </si>
  <si>
    <t>Height above/below terrain height</t>
  </si>
  <si>
    <t>measuredHeight</t>
  </si>
  <si>
    <t>gml::LengthType [0..1]</t>
  </si>
  <si>
    <t>bdgHeight</t>
  </si>
  <si>
    <t>QualifiedHeight [0..*]</t>
  </si>
  <si>
    <t>Room/ Ceiling height</t>
  </si>
  <si>
    <t>storeysHeightsAboveGround</t>
  </si>
  <si>
    <t>gml::MeasureOrNullListType [0..1]</t>
  </si>
  <si>
    <t>storeysHeightsBelowGround</t>
  </si>
  <si>
    <t>Base height of building (sometimes altitude)</t>
  </si>
  <si>
    <t>Volumes</t>
  </si>
  <si>
    <t>Heated/conditioned volume</t>
  </si>
  <si>
    <t>bdgVolume</t>
  </si>
  <si>
    <t>QualifiedVolume [0..*]</t>
  </si>
  <si>
    <t>Gross volume</t>
  </si>
  <si>
    <t>Net volume</t>
  </si>
  <si>
    <t>Cooled volume</t>
  </si>
  <si>
    <t>Shape factor and compactness</t>
  </si>
  <si>
    <t>Shape factor (envelope area / gross volume)</t>
  </si>
  <si>
    <t>Compactness (envelope area / gross floor area)</t>
  </si>
  <si>
    <t>Module 7: Operation and use</t>
  </si>
  <si>
    <t>Behavioural patterns/ user profile</t>
  </si>
  <si>
    <t>Drives demand</t>
  </si>
  <si>
    <t>Number of occupants</t>
  </si>
  <si>
    <t>Occupants</t>
  </si>
  <si>
    <t>numberOfOccupants</t>
  </si>
  <si>
    <t>OccupantsTypeValue</t>
  </si>
  <si>
    <t>occupancySchedule</t>
  </si>
  <si>
    <t>AbstractSchedule [0..1]</t>
  </si>
  <si>
    <t>Set points for heating and cooling</t>
  </si>
  <si>
    <t>Operation</t>
  </si>
  <si>
    <t>heatingSchedule</t>
  </si>
  <si>
    <t>coolingSchedule</t>
  </si>
  <si>
    <t>Hot water usage intensity (low, medium, high)</t>
  </si>
  <si>
    <t>Annual usage days</t>
  </si>
  <si>
    <t>AbstractSchedule</t>
  </si>
  <si>
    <t>temporalExtent</t>
  </si>
  <si>
    <t>TM_IntervalLength [0..1]</t>
  </si>
  <si>
    <t>Daily HVAC system operating hours</t>
  </si>
  <si>
    <t>mechanicalVentilationSchedule</t>
  </si>
  <si>
    <t>Ventilation habits</t>
  </si>
  <si>
    <t>isMechanicallyVentilated</t>
  </si>
  <si>
    <t>Room for auditor advice regarding usage habits</t>
  </si>
  <si>
    <t>BRP advice</t>
  </si>
  <si>
    <t>Heating usage intensity (low, medium, high)</t>
  </si>
  <si>
    <t>Cooling usage intensity (low, medium, high)</t>
  </si>
  <si>
    <t>Electricity usage intensity (low, medium, high)</t>
  </si>
  <si>
    <t>Owner satisfaction regarding room temperature</t>
  </si>
  <si>
    <t>Subjective, how does one measure?</t>
  </si>
  <si>
    <t>The type of cooking (electric vs. gas)</t>
  </si>
  <si>
    <t>Energy carrier</t>
  </si>
  <si>
    <t>Module 8: Legal and finance</t>
  </si>
  <si>
    <t>Property valuations</t>
  </si>
  <si>
    <t>Property tax valuation / Official value</t>
  </si>
  <si>
    <t>Financing renovation</t>
  </si>
  <si>
    <t>Market value / Property value</t>
  </si>
  <si>
    <t>Annual maintenance cost</t>
  </si>
  <si>
    <t>Operational</t>
  </si>
  <si>
    <t>expense</t>
  </si>
  <si>
    <t>Renewal / Renovation cost</t>
  </si>
  <si>
    <t>Rental value / Annual rent</t>
  </si>
  <si>
    <t>Financial context</t>
  </si>
  <si>
    <t>Property yield (%)</t>
  </si>
  <si>
    <t>Investment ROI</t>
  </si>
  <si>
    <t>Lifecycle and maintenance costs</t>
  </si>
  <si>
    <t>Long-term planning</t>
  </si>
  <si>
    <t>Sales transaction value / Property price paid</t>
  </si>
  <si>
    <t>Historical record</t>
  </si>
  <si>
    <t>Life Cycle Cost (LCC)</t>
  </si>
  <si>
    <t>Valuation metadata</t>
  </si>
  <si>
    <t>Valuation date</t>
  </si>
  <si>
    <t>Valuation method / approach</t>
  </si>
  <si>
    <t>Data quality</t>
  </si>
  <si>
    <t>Valuation conducted by (name/contact)</t>
  </si>
  <si>
    <t>author</t>
  </si>
  <si>
    <t>Valuation document (linked file)</t>
  </si>
  <si>
    <t>Financial data collecting date / last update</t>
  </si>
  <si>
    <t>Freshness</t>
  </si>
  <si>
    <t>Valuation purpose</t>
  </si>
  <si>
    <t>Administrative detail</t>
  </si>
  <si>
    <t>Valuation cost (€)</t>
  </si>
  <si>
    <t>Property selling date</t>
  </si>
  <si>
    <t>Economic observation period (years)</t>
  </si>
  <si>
    <t>Planning horizon</t>
  </si>
  <si>
    <t>referencePeriod</t>
  </si>
  <si>
    <t>ReferencePeriodValue [0..1]</t>
  </si>
  <si>
    <t>Operational energy costs</t>
  </si>
  <si>
    <t>Annual energy costs (total)</t>
  </si>
  <si>
    <t>Annual energy cost by carrier (electricity/ gas/ etc.)</t>
  </si>
  <si>
    <t>Annual water cost</t>
  </si>
  <si>
    <t>Operational utility</t>
  </si>
  <si>
    <t>Water</t>
  </si>
  <si>
    <t>Subsidies / Grants / Financial programs</t>
  </si>
  <si>
    <t>revenue</t>
  </si>
  <si>
    <t>Annual energy cost by use (heating/ cooling/ DHW/ lighting)</t>
  </si>
  <si>
    <t>Building insurance cost</t>
  </si>
  <si>
    <t>Operational, not renovation-driving</t>
  </si>
  <si>
    <t>OtherResource</t>
  </si>
  <si>
    <t>Certification costs (EPC/ DGNB/ BREEAM/ LEED/ etc.)</t>
  </si>
  <si>
    <t>Admin</t>
  </si>
  <si>
    <t>Legal and property documents</t>
  </si>
  <si>
    <t>Tenancy agreement</t>
  </si>
  <si>
    <t>Legal admin</t>
  </si>
  <si>
    <t>URI [0..1]</t>
  </si>
  <si>
    <t>Insurance policy / document</t>
  </si>
  <si>
    <t>Clean soil statement</t>
  </si>
  <si>
    <t>Permits and licenses</t>
  </si>
  <si>
    <t>Building / Construction / Use permits</t>
  </si>
  <si>
    <t>Major renovation</t>
  </si>
  <si>
    <t>Maintenance service contract / log</t>
  </si>
  <si>
    <t>Utility contracts</t>
  </si>
  <si>
    <t>Energy supply context</t>
  </si>
  <si>
    <t>Ownership information</t>
  </si>
  <si>
    <t>Owner information</t>
  </si>
  <si>
    <t>Decision-maker</t>
  </si>
  <si>
    <t>Legal / Fiscal property registration</t>
  </si>
  <si>
    <t>Admin link</t>
  </si>
  <si>
    <t>Tenant information</t>
  </si>
  <si>
    <t>Granular admin</t>
  </si>
  <si>
    <t>Official ratings and certification</t>
  </si>
  <si>
    <t>EPC class / label</t>
  </si>
  <si>
    <t>Core BRP</t>
  </si>
  <si>
    <t>EnergyPerformanceCertificate</t>
  </si>
  <si>
    <t>label</t>
  </si>
  <si>
    <t>CharacterString</t>
  </si>
  <si>
    <t>Numeric indicator</t>
  </si>
  <si>
    <t>value</t>
  </si>
  <si>
    <t>Certification status</t>
  </si>
  <si>
    <t>EPCStatusValue</t>
  </si>
  <si>
    <t>certificationMethod</t>
  </si>
  <si>
    <t>Renovation target / status</t>
  </si>
  <si>
    <t>EPC document as PDF</t>
  </si>
  <si>
    <t>Energy consumption</t>
  </si>
  <si>
    <t>Total source energy (including grid losses)</t>
  </si>
  <si>
    <t>EnergyTypeValue</t>
  </si>
  <si>
    <t>Final / delivered energy</t>
  </si>
  <si>
    <t>Heating demand</t>
  </si>
  <si>
    <t>endUse</t>
  </si>
  <si>
    <t>EnergyEndUseValue</t>
  </si>
  <si>
    <t>Cooling demand</t>
  </si>
  <si>
    <t>DHW (hot water) demand</t>
  </si>
  <si>
    <t>Lighting and aux</t>
  </si>
  <si>
    <t>Calculation type</t>
  </si>
  <si>
    <t>Energy production</t>
  </si>
  <si>
    <t>Renewable energy production</t>
  </si>
  <si>
    <t>operationType</t>
  </si>
  <si>
    <t>ResourceOperationTypeValue</t>
  </si>
  <si>
    <t>Self-consumption ratio</t>
  </si>
  <si>
    <t>Renewable energy share (%)</t>
  </si>
  <si>
    <t>Calculation zones</t>
  </si>
  <si>
    <t>Area (or volume) per zone</t>
  </si>
  <si>
    <t>AbstractCityObjectSpace</t>
  </si>
  <si>
    <t>area</t>
  </si>
  <si>
    <t>volume</t>
  </si>
  <si>
    <t>Surface area of envelope area per zone</t>
  </si>
  <si>
    <t>Temperature assessment</t>
  </si>
  <si>
    <t>Air temperature (average)</t>
  </si>
  <si>
    <t>Comfort drives renovation</t>
  </si>
  <si>
    <t>yearlyValue</t>
  </si>
  <si>
    <t>Hours outside comfort range</t>
  </si>
  <si>
    <t>Subjective</t>
  </si>
  <si>
    <t>Set point temperature</t>
  </si>
  <si>
    <t>Operation, significantly influences energy consumption</t>
  </si>
  <si>
    <t>Temperature variation</t>
  </si>
  <si>
    <t>Comfort indicator</t>
  </si>
  <si>
    <t>Humidity assessment</t>
  </si>
  <si>
    <t>Average indoor relative humidity</t>
  </si>
  <si>
    <t>Time with RH outside 30–60% comfort range</t>
  </si>
  <si>
    <t>PMV/PPD assessment</t>
  </si>
  <si>
    <t>Predicted mean vote (PMV)</t>
  </si>
  <si>
    <t>Predicted percentage dissatisfied (PPD)</t>
  </si>
  <si>
    <t>Hours with PPD above thresholds</t>
  </si>
  <si>
    <t>Summer comfort / overheating</t>
  </si>
  <si>
    <t>Summer thermal discomfort</t>
  </si>
  <si>
    <t>Climate resilience (2050)</t>
  </si>
  <si>
    <t>Climate-resilience scope outside BRP core</t>
  </si>
  <si>
    <t>Owner satisfaction</t>
  </si>
  <si>
    <t>CO₂ concentration</t>
  </si>
  <si>
    <t>CO₂ concentration (average)</t>
  </si>
  <si>
    <t>Ventilation indicator</t>
  </si>
  <si>
    <t>Hours with CO₂ above thresholds</t>
  </si>
  <si>
    <t>Ventilation assessment</t>
  </si>
  <si>
    <t>Ventilation rate</t>
  </si>
  <si>
    <t>System performance</t>
  </si>
  <si>
    <t>Ventilation system type</t>
  </si>
  <si>
    <t>System inventory</t>
  </si>
  <si>
    <t>Heat recovery efficiency</t>
  </si>
  <si>
    <t>Air tightness (n50/q50)</t>
  </si>
  <si>
    <t>Air quality indicator</t>
  </si>
  <si>
    <t>Composite indicator</t>
  </si>
  <si>
    <t>Pollutant concentrations</t>
  </si>
  <si>
    <t>Total volatile organic compounds (VOCs)</t>
  </si>
  <si>
    <t>Granular pollutant monitoring</t>
  </si>
  <si>
    <t>CMR VOCs</t>
  </si>
  <si>
    <t>Formaldehyde</t>
  </si>
  <si>
    <t>PM2.5 / PM10</t>
  </si>
  <si>
    <t>Radon</t>
  </si>
  <si>
    <t>Major renovation health concern</t>
  </si>
  <si>
    <t>R-value (pollutant index)</t>
  </si>
  <si>
    <t>Granular composite</t>
  </si>
  <si>
    <t>Outdoor air quality context</t>
  </si>
  <si>
    <t>Outdoor air quality</t>
  </si>
  <si>
    <t>External context</t>
  </si>
  <si>
    <t>Nitrogen dioxide (NO₂)</t>
  </si>
  <si>
    <t>Granular pollutant</t>
  </si>
  <si>
    <t xml:space="preserve">Module </t>
  </si>
  <si>
    <t>Daylight assessment</t>
  </si>
  <si>
    <t>Daylight provision</t>
  </si>
  <si>
    <t>Light (lux) level</t>
  </si>
  <si>
    <t>Light pollution</t>
  </si>
  <si>
    <t>Artificial lighting</t>
  </si>
  <si>
    <t>Lighting system type</t>
  </si>
  <si>
    <t>Technical system</t>
  </si>
  <si>
    <t>LightingDevice</t>
  </si>
  <si>
    <t>Installed lighting power density</t>
  </si>
  <si>
    <t>Lighting control systems</t>
  </si>
  <si>
    <t>Whilst being related to Smart readiness, how would this affect renovation decisions</t>
  </si>
  <si>
    <t>Material health</t>
  </si>
  <si>
    <t>Asbestos presence</t>
  </si>
  <si>
    <t>Major renovation hazard</t>
  </si>
  <si>
    <t>Material chemical declaration</t>
  </si>
  <si>
    <t>General health context</t>
  </si>
  <si>
    <t>Health comfort indicator</t>
  </si>
  <si>
    <t>Composite</t>
  </si>
  <si>
    <t>Flood sensitivity</t>
  </si>
  <si>
    <t>Heat stress risk</t>
  </si>
  <si>
    <t>Noise assessment</t>
  </si>
  <si>
    <t>Noise control (general)</t>
  </si>
  <si>
    <t>Envelope/acoustic renovation</t>
  </si>
  <si>
    <t>Traffic noise exposure</t>
  </si>
  <si>
    <t>Granular external sensor</t>
  </si>
  <si>
    <t>Data collection approach</t>
  </si>
  <si>
    <t>Requires physical measurements</t>
  </si>
  <si>
    <t>Requires dynamic simulation</t>
  </si>
  <si>
    <t>Static data entry only</t>
  </si>
  <si>
    <t>Monitoring data integration</t>
  </si>
  <si>
    <t>connectionType</t>
  </si>
  <si>
    <t>SensorConnectionTypeValue</t>
  </si>
  <si>
    <t>Standard references</t>
  </si>
  <si>
    <t>EN 15251 / EN 16798</t>
  </si>
  <si>
    <t>Whilst important for the methodology defense, it's not that relevant for making renovation decisions that exactly these standards are used</t>
  </si>
  <si>
    <t>Sustainability certification link</t>
  </si>
  <si>
    <t>SRI core indicators</t>
  </si>
  <si>
    <t>SRI result / score</t>
  </si>
  <si>
    <t>SRI class (A–F rating)</t>
  </si>
  <si>
    <t>SRI weighting factors (KF1–KF3)</t>
  </si>
  <si>
    <t>SRI report / document</t>
  </si>
  <si>
    <t>E-mobility and EV charging</t>
  </si>
  <si>
    <t>EV charging infrastructure (yes / no)</t>
  </si>
  <si>
    <t>Renovation infrastructure</t>
  </si>
  <si>
    <t>EVChargingStation</t>
  </si>
  <si>
    <t>N/A (existence of instance)</t>
  </si>
  <si>
    <t>Number of EV charging points</t>
  </si>
  <si>
    <t>Total parking spaces</t>
  </si>
  <si>
    <t>Not energy-relevant</t>
  </si>
  <si>
    <t>Pre-cabled recharging stations</t>
  </si>
  <si>
    <t>Not relevant to BRP</t>
  </si>
  <si>
    <t>EV charging station types (private / public)</t>
  </si>
  <si>
    <t>accessType</t>
  </si>
  <si>
    <t>EVChargingAccessTypeValue [0..1]</t>
  </si>
  <si>
    <t>EV charging types (grid / non-grid / market)</t>
  </si>
  <si>
    <t>Code</t>
  </si>
  <si>
    <t>EV charging capacity (kW)</t>
  </si>
  <si>
    <t>chargingSpeedLevel</t>
  </si>
  <si>
    <t>EVChargingSpeedLevelValue [0..1]</t>
  </si>
  <si>
    <t>connectorType</t>
  </si>
  <si>
    <t>EVChargingConnectorTypeValue [0..1]</t>
  </si>
  <si>
    <t>EV grid balancing</t>
  </si>
  <si>
    <t>hasLoadManagement</t>
  </si>
  <si>
    <t>EV charging information and connectivity</t>
  </si>
  <si>
    <t>Energy storage and load shifting</t>
  </si>
  <si>
    <t>Storage of locally generated energy</t>
  </si>
  <si>
    <t>System</t>
  </si>
  <si>
    <t>ElectricalStorageDevice</t>
  </si>
  <si>
    <t>ThermalStorageDevice</t>
  </si>
  <si>
    <t>Electrical storage system</t>
  </si>
  <si>
    <t>batteryTechnology</t>
  </si>
  <si>
    <t>BatteryTechnologyTypeValue [0..1]</t>
  </si>
  <si>
    <t>powerCapacity</t>
  </si>
  <si>
    <t>Heating system thermal storage / shifting</t>
  </si>
  <si>
    <t>Cooling system thermal storage / shifting</t>
  </si>
  <si>
    <t>Control of DHW storage charging</t>
  </si>
  <si>
    <t>Optimising self-consumption</t>
  </si>
  <si>
    <t>Grid integration and demand response</t>
  </si>
  <si>
    <t>Smart grid integration</t>
  </si>
  <si>
    <t>UtilityNetworkConnection</t>
  </si>
  <si>
    <t>networkType</t>
  </si>
  <si>
    <t>NetworkTypeValue</t>
  </si>
  <si>
    <t>Demand response potential</t>
  </si>
  <si>
    <t>Occupant participation in DR events</t>
  </si>
  <si>
    <t>Granular behavioural indicator</t>
  </si>
  <si>
    <t>Building automation and control (BACS)</t>
  </si>
  <si>
    <t>BACS description</t>
  </si>
  <si>
    <t>Control system for heating (class)</t>
  </si>
  <si>
    <t>Control system for cooling (class)</t>
  </si>
  <si>
    <t>Emission control for TABS</t>
  </si>
  <si>
    <t>Control of distribution heat temperature</t>
  </si>
  <si>
    <t>supplyTemperature</t>
  </si>
  <si>
    <t>Control of distribution pumps</t>
  </si>
  <si>
    <t>nominalFlow</t>
  </si>
  <si>
    <t>Intermittent control</t>
  </si>
  <si>
    <t>schedule</t>
  </si>
  <si>
    <t>CHP control</t>
  </si>
  <si>
    <t>Technical building management systems</t>
  </si>
  <si>
    <t>IoT sensors and monitoring</t>
  </si>
  <si>
    <t>Sensors for energy consumption (HVAC / lighting)</t>
  </si>
  <si>
    <t>Sensors for air temperature / humidity / presence</t>
  </si>
  <si>
    <t>IoT continuous vibration sensors</t>
  </si>
  <si>
    <t>Structural-health input</t>
  </si>
  <si>
    <t>IoT weather station data</t>
  </si>
  <si>
    <t>Input to dynamic energy simulations</t>
  </si>
  <si>
    <t>Weather Station</t>
  </si>
  <si>
    <t>WeatherData</t>
  </si>
  <si>
    <t>WeatherDataTypeValue</t>
  </si>
  <si>
    <t>Self-attentive sensing configuration</t>
  </si>
  <si>
    <t>Overly specific tech</t>
  </si>
  <si>
    <t>Fault detection and structural health</t>
  </si>
  <si>
    <t>Fault detection of sensors</t>
  </si>
  <si>
    <t>Operational fault detection, not BRP advisory</t>
  </si>
  <si>
    <t>Alerts / warnings for anomalies</t>
  </si>
  <si>
    <t>Operational alerting, not BRP advisory</t>
  </si>
  <si>
    <t>SHM thresholds</t>
  </si>
  <si>
    <t>Operational SHM, not BRP advisory</t>
  </si>
  <si>
    <t>District and external integration</t>
  </si>
  <si>
    <t>Smart district potential / indicators</t>
  </si>
  <si>
    <t>Building energy model (BEM)</t>
  </si>
  <si>
    <t>Climate and resilience</t>
  </si>
  <si>
    <t>Solar potential (roofs / facades)</t>
  </si>
  <si>
    <t>Renewable renovation planning</t>
  </si>
  <si>
    <t>Climate resilience potential</t>
  </si>
  <si>
    <t>Metering and data collection</t>
  </si>
  <si>
    <t>Digital energy meters</t>
  </si>
  <si>
    <t>Time series</t>
  </si>
  <si>
    <t>Data collection timestamp</t>
  </si>
  <si>
    <t>Only general recommendation to include renovation data</t>
  </si>
  <si>
    <t>Meta: only general recommendation</t>
  </si>
  <si>
    <t>Administrative (step) information</t>
  </si>
  <si>
    <t>Renovation measure proposals on specific elements</t>
  </si>
  <si>
    <t>BRP core</t>
  </si>
  <si>
    <t>Textual renovation (stage) description</t>
  </si>
  <si>
    <t>Year of this renovation/ stage</t>
  </si>
  <si>
    <t>Attachable documents which relate to the renovation</t>
  </si>
  <si>
    <t>Achieved/ desired renovation depth (descriptive)</t>
  </si>
  <si>
    <t>Energy &amp; resource consumption improvements</t>
  </si>
  <si>
    <t>Resource consumption (kWh) vs. pre-renovation</t>
  </si>
  <si>
    <t>Energy label before/after (letter or colour)</t>
  </si>
  <si>
    <t>Resource demand (kW) vs. pre-renovation</t>
  </si>
  <si>
    <t>maximumLoad</t>
  </si>
  <si>
    <t>Energy efficiency before / after renovation</t>
  </si>
  <si>
    <t>Finances</t>
  </si>
  <si>
    <t>Investment costs per measure/ step</t>
  </si>
  <si>
    <t>Current total energy costs per year</t>
  </si>
  <si>
    <t>Business as usual costs (or if it can be derived)</t>
  </si>
  <si>
    <t>Public funding program details</t>
  </si>
  <si>
    <t>Public funding investment amount (available)</t>
  </si>
  <si>
    <t>Overall total investment costs (staged or all at once)</t>
  </si>
  <si>
    <t>Tax incentive (name)</t>
  </si>
  <si>
    <t>Reasoning &amp; timelining</t>
  </si>
  <si>
    <t>Renovation measure priority level</t>
  </si>
  <si>
    <t>Motivation on why this specific measure is necessary**</t>
  </si>
  <si>
    <t>Estimation of the renovation works time**</t>
  </si>
  <si>
    <t>The first/best opportunity to do this renovation**</t>
  </si>
  <si>
    <t>Ideal season for executing the renovation step**</t>
  </si>
  <si>
    <t>Non monetary benefits</t>
  </si>
  <si>
    <t>Indication of new thermal comfort**</t>
  </si>
  <si>
    <t>BRP benefit</t>
  </si>
  <si>
    <t>Descriptive explanation of other non-monetary benefits**</t>
  </si>
  <si>
    <t>Negatives</t>
  </si>
  <si>
    <t>Constraints that limit/block certain renovations</t>
  </si>
  <si>
    <t>Estimation of users' disruption**</t>
  </si>
  <si>
    <t>Renovation risks (e.g. mold growth if not done properly)</t>
  </si>
  <si>
    <t>Climate zone/ locality</t>
  </si>
  <si>
    <t>Energy / climate context</t>
  </si>
  <si>
    <t>Weather station</t>
  </si>
  <si>
    <t>WeatherStation</t>
  </si>
  <si>
    <t>Urban Function Area</t>
  </si>
  <si>
    <t>UrbanFunctionArea</t>
  </si>
  <si>
    <t>District heat network connection availability</t>
  </si>
  <si>
    <t>Energy carrier transition</t>
  </si>
  <si>
    <t>NetworkConnectionStatusValue [0..1]</t>
  </si>
  <si>
    <t>Green-blue level / climate resilience</t>
  </si>
  <si>
    <t>Long-term renovation</t>
  </si>
  <si>
    <t>Associated cadastral parcel details</t>
  </si>
  <si>
    <t>The type of soil/terrain</t>
  </si>
  <si>
    <t>No, only relevant for foundation renovation, and it can be dealt with anyways</t>
  </si>
  <si>
    <t>Textual description of the building's surroundings</t>
  </si>
  <si>
    <t>Qualitative context</t>
  </si>
  <si>
    <t>qualityDescription</t>
  </si>
  <si>
    <t>External noise pollution</t>
  </si>
  <si>
    <t>Granular context</t>
  </si>
  <si>
    <t>Soil/ground cleanliness/ contamination details</t>
  </si>
  <si>
    <t>Drinkwater connection availability</t>
  </si>
  <si>
    <t>Utility</t>
  </si>
  <si>
    <t>Flood susceptibility</t>
  </si>
  <si>
    <t>Sewerage available &amp; details on the current connection</t>
  </si>
  <si>
    <t>Whether a building is (dis)connected to/from gas</t>
  </si>
  <si>
    <t>Energy community access availability</t>
  </si>
  <si>
    <t>Groundwater well availability</t>
  </si>
  <si>
    <t>Heat stress</t>
  </si>
  <si>
    <t>External sensor context</t>
  </si>
  <si>
    <t>Mobility details, like public transport options</t>
  </si>
  <si>
    <t>Space &amp; greenery details</t>
  </si>
  <si>
    <t>Radiation (by wireless internet and telecom antennas)</t>
  </si>
  <si>
    <t>Perceived light (pollution) at night</t>
  </si>
  <si>
    <t>Spatial planning of own and surrounding plots</t>
  </si>
  <si>
    <t>Immovable heritage of own and surrounding buildings</t>
  </si>
  <si>
    <t>Whether a building is, or can be connected to electricity</t>
  </si>
  <si>
    <t>The communication types available/connected (e.g. 5G)</t>
  </si>
  <si>
    <t>Regulations in force at the time of construction</t>
  </si>
  <si>
    <t>Renovation compliance reference</t>
  </si>
  <si>
    <t>Module 9: Ancillary data &amp; context</t>
  </si>
  <si>
    <t>Module 10: Energy performance</t>
  </si>
  <si>
    <t>Module 11: Indoor environmental quality, Part I: Thermal comfort</t>
  </si>
  <si>
    <t>Module 11: Indoor environmental quality, Part II: Indoor Air Quality</t>
  </si>
  <si>
    <t>Module 11: Indoor environmental quality, Part III: Visual comfort</t>
  </si>
  <si>
    <t>Module 11: Indoor environmental quality, Part IV: Health and well-being indicators</t>
  </si>
  <si>
    <t>Module 11: Indoor environmental quality, Part V: Acoustic comfort</t>
  </si>
  <si>
    <t>Module 11: Indoor environmental quality, Part VI: Assessment method characteristics</t>
  </si>
  <si>
    <t>Module 12: Smart readiness, Part I</t>
  </si>
  <si>
    <t>Module 12: Smart readiness, Part II</t>
  </si>
  <si>
    <t>Module 13: Renovation advice</t>
  </si>
  <si>
    <t>ID</t>
  </si>
  <si>
    <t>Definition</t>
  </si>
  <si>
    <t>Priority</t>
  </si>
  <si>
    <t>Justification</t>
  </si>
  <si>
    <t>Use cases</t>
  </si>
  <si>
    <t>Data type</t>
  </si>
  <si>
    <t>Unit / code list</t>
  </si>
  <si>
    <t>Accuracy</t>
  </si>
  <si>
    <t>Spatial resolution</t>
  </si>
  <si>
    <t>Temporal dimension</t>
  </si>
  <si>
    <t>Sensitivity</t>
  </si>
  <si>
    <t>Owner / holder</t>
  </si>
  <si>
    <t>Expected source</t>
  </si>
  <si>
    <t>Acquisition</t>
  </si>
  <si>
    <t>Mapping status</t>
  </si>
  <si>
    <t>Mapping mechanism</t>
  </si>
  <si>
    <t>RP-01-01</t>
  </si>
  <si>
    <t>composite</t>
  </si>
  <si>
    <t>building</t>
  </si>
  <si>
    <t>Native</t>
  </si>
  <si>
    <t>RP-01-02</t>
  </si>
  <si>
    <t>categorical</t>
  </si>
  <si>
    <t>any level</t>
  </si>
  <si>
    <t>RP-01-03</t>
  </si>
  <si>
    <t>text</t>
  </si>
  <si>
    <t>RP-01-04</t>
  </si>
  <si>
    <t>RP-01-05</t>
  </si>
  <si>
    <t>RP-01-06</t>
  </si>
  <si>
    <t>unit</t>
  </si>
  <si>
    <t>composition</t>
  </si>
  <si>
    <t>RP-01-07</t>
  </si>
  <si>
    <t>date</t>
  </si>
  <si>
    <t>RP-01-08</t>
  </si>
  <si>
    <t>Out of scope</t>
  </si>
  <si>
    <t>RP-02-01</t>
  </si>
  <si>
    <t>RP-02-02</t>
  </si>
  <si>
    <t>RP-02-03</t>
  </si>
  <si>
    <t>numeric</t>
  </si>
  <si>
    <t>RP-02-04</t>
  </si>
  <si>
    <t>historical</t>
  </si>
  <si>
    <t>RP-02-05</t>
  </si>
  <si>
    <t>RP-02-06</t>
  </si>
  <si>
    <t>RP-02-07</t>
  </si>
  <si>
    <t>RP-02-08</t>
  </si>
  <si>
    <t>RP-02-09</t>
  </si>
  <si>
    <t>RP-02-10</t>
  </si>
  <si>
    <t>RP-02-11</t>
  </si>
  <si>
    <t>RP-02-12</t>
  </si>
  <si>
    <t>component</t>
  </si>
  <si>
    <t>RP-02-13</t>
  </si>
  <si>
    <t>RP-02-14</t>
  </si>
  <si>
    <t>RP-02-15</t>
  </si>
  <si>
    <t>RP-02-16</t>
  </si>
  <si>
    <t>RP-02-17</t>
  </si>
  <si>
    <t>Workaround</t>
  </si>
  <si>
    <t>RP-02-18</t>
  </si>
  <si>
    <t>site / context</t>
  </si>
  <si>
    <t>RP-02-19</t>
  </si>
  <si>
    <t>boolean</t>
  </si>
  <si>
    <t>RP-02-20</t>
  </si>
  <si>
    <t>RP-02-21</t>
  </si>
  <si>
    <t>RP-02-22</t>
  </si>
  <si>
    <t>RP-02-23</t>
  </si>
  <si>
    <t>zone</t>
  </si>
  <si>
    <t>RP-02-24</t>
  </si>
  <si>
    <t>RP-03-01</t>
  </si>
  <si>
    <t>RP-03-02</t>
  </si>
  <si>
    <t>RP-03-03</t>
  </si>
  <si>
    <t>RP-03-04</t>
  </si>
  <si>
    <t>Extension needed</t>
  </si>
  <si>
    <t>RP-03-05</t>
  </si>
  <si>
    <t>RP-03-06</t>
  </si>
  <si>
    <t>RP-03-07</t>
  </si>
  <si>
    <t>RP-03-08</t>
  </si>
  <si>
    <t>RP-03-09</t>
  </si>
  <si>
    <t>RP-03-10</t>
  </si>
  <si>
    <t>RP-03-11</t>
  </si>
  <si>
    <t>RP-03-12</t>
  </si>
  <si>
    <t>RP-03-13</t>
  </si>
  <si>
    <t>RP-03-14</t>
  </si>
  <si>
    <t>RP-03-15</t>
  </si>
  <si>
    <t>RP-03-16</t>
  </si>
  <si>
    <t>RP-03-17</t>
  </si>
  <si>
    <t>RP-03-18</t>
  </si>
  <si>
    <t>RP-03-19</t>
  </si>
  <si>
    <t>RP-03-20</t>
  </si>
  <si>
    <t>RP-03-21</t>
  </si>
  <si>
    <t>RP-03-22</t>
  </si>
  <si>
    <t>reference</t>
  </si>
  <si>
    <t>RP-03-23</t>
  </si>
  <si>
    <t>RP-03-24</t>
  </si>
  <si>
    <t>RP-03-25</t>
  </si>
  <si>
    <t>RP-03-26</t>
  </si>
  <si>
    <t>RP-03-27</t>
  </si>
  <si>
    <t>RP-03-28</t>
  </si>
  <si>
    <t>RP-03-29</t>
  </si>
  <si>
    <t>RP-03-30</t>
  </si>
  <si>
    <t>RP-03-31</t>
  </si>
  <si>
    <t>RP-03-32</t>
  </si>
  <si>
    <t>RP-03-33</t>
  </si>
  <si>
    <t>RP-03-34</t>
  </si>
  <si>
    <t>RP-03-35</t>
  </si>
  <si>
    <t>RP-03-36</t>
  </si>
  <si>
    <t>RP-03-37</t>
  </si>
  <si>
    <t>RP-03-38</t>
  </si>
  <si>
    <t>RP-03-39</t>
  </si>
  <si>
    <t>RP-03-40</t>
  </si>
  <si>
    <t>RP-03-41</t>
  </si>
  <si>
    <t>RP-03-42</t>
  </si>
  <si>
    <t>RP-03-43</t>
  </si>
  <si>
    <t>RP-03-44</t>
  </si>
  <si>
    <t>RP-03-45</t>
  </si>
  <si>
    <t>RP-03-46</t>
  </si>
  <si>
    <t>RP-03-47</t>
  </si>
  <si>
    <t>RP-03-48</t>
  </si>
  <si>
    <t>RP-03-49</t>
  </si>
  <si>
    <t>RP-03-50</t>
  </si>
  <si>
    <t>RP-03-51</t>
  </si>
  <si>
    <t>RP-03-52</t>
  </si>
  <si>
    <t>RP-03-53</t>
  </si>
  <si>
    <t>RP-03-54</t>
  </si>
  <si>
    <t>RP-03-55</t>
  </si>
  <si>
    <t>RP-03-56</t>
  </si>
  <si>
    <t>RP-03-57</t>
  </si>
  <si>
    <t>RP-03-58</t>
  </si>
  <si>
    <t>RP-03-59</t>
  </si>
  <si>
    <t>RP-03-60</t>
  </si>
  <si>
    <t>RP-04-01</t>
  </si>
  <si>
    <t>RP-04-02</t>
  </si>
  <si>
    <t>RP-04-03</t>
  </si>
  <si>
    <t>RP-04-04</t>
  </si>
  <si>
    <t>RP-04-05</t>
  </si>
  <si>
    <t>RP-04-06</t>
  </si>
  <si>
    <t>RP-04-07</t>
  </si>
  <si>
    <t>RP-04-08</t>
  </si>
  <si>
    <t>RP-04-09</t>
  </si>
  <si>
    <t>RP-04-10</t>
  </si>
  <si>
    <t>RP-04-11</t>
  </si>
  <si>
    <t>RP-04-12</t>
  </si>
  <si>
    <t>RP-04-13</t>
  </si>
  <si>
    <t>RP-04-14</t>
  </si>
  <si>
    <t>RP-04-15</t>
  </si>
  <si>
    <t>RP-04-16</t>
  </si>
  <si>
    <t>RP-04-17</t>
  </si>
  <si>
    <t>RP-04-18</t>
  </si>
  <si>
    <t>RP-04-19</t>
  </si>
  <si>
    <t>RP-04-20</t>
  </si>
  <si>
    <t>RP-04-21</t>
  </si>
  <si>
    <t>RP-04-22</t>
  </si>
  <si>
    <t>RP-04-23</t>
  </si>
  <si>
    <t>time series</t>
  </si>
  <si>
    <t>periodic</t>
  </si>
  <si>
    <t>RP-04-24</t>
  </si>
  <si>
    <t>RP-04-25</t>
  </si>
  <si>
    <t>RP-04-26</t>
  </si>
  <si>
    <t>RP-04-27</t>
  </si>
  <si>
    <t>RP-04-28</t>
  </si>
  <si>
    <t>RP-04-29</t>
  </si>
  <si>
    <t>RP-04-30</t>
  </si>
  <si>
    <t>RP-05-01</t>
  </si>
  <si>
    <t>RP-05-02</t>
  </si>
  <si>
    <t>RP-05-03</t>
  </si>
  <si>
    <t>RP-05-04</t>
  </si>
  <si>
    <t>RP-06-01</t>
  </si>
  <si>
    <t>RP-06-02</t>
  </si>
  <si>
    <t>RP-06-03</t>
  </si>
  <si>
    <t>RP-06-04</t>
  </si>
  <si>
    <t>RP-06-05</t>
  </si>
  <si>
    <t>RP-06-06</t>
  </si>
  <si>
    <t>RP-06-07</t>
  </si>
  <si>
    <t>RP-06-08</t>
  </si>
  <si>
    <t>RP-06-09</t>
  </si>
  <si>
    <t>RP-06-10</t>
  </si>
  <si>
    <t>RP-06-11</t>
  </si>
  <si>
    <t>RP-06-12</t>
  </si>
  <si>
    <t>RP-06-13</t>
  </si>
  <si>
    <t>RP-06-14</t>
  </si>
  <si>
    <t>RP-06-15</t>
  </si>
  <si>
    <t>RP-06-16</t>
  </si>
  <si>
    <t>RP-06-17</t>
  </si>
  <si>
    <t>RP-06-18</t>
  </si>
  <si>
    <t>RP-06-19</t>
  </si>
  <si>
    <t>RP-07-01</t>
  </si>
  <si>
    <t>RP-07-02</t>
  </si>
  <si>
    <t>RP-07-03</t>
  </si>
  <si>
    <t>RP-07-04</t>
  </si>
  <si>
    <t>RP-07-05</t>
  </si>
  <si>
    <t>RP-07-06</t>
  </si>
  <si>
    <t>RP-07-07</t>
  </si>
  <si>
    <t>RP-07-08</t>
  </si>
  <si>
    <t>RP-07-09</t>
  </si>
  <si>
    <t>RP-07-10</t>
  </si>
  <si>
    <t>RP-07-11</t>
  </si>
  <si>
    <t>RP-07-12</t>
  </si>
  <si>
    <t>RP-07-13</t>
  </si>
  <si>
    <t>RP-08-01</t>
  </si>
  <si>
    <t>RP-08-02</t>
  </si>
  <si>
    <t>RP-08-03</t>
  </si>
  <si>
    <t>RP-08-04</t>
  </si>
  <si>
    <t>RP-08-05</t>
  </si>
  <si>
    <t>RP-08-06</t>
  </si>
  <si>
    <t>RP-08-07</t>
  </si>
  <si>
    <t>RP-08-08</t>
  </si>
  <si>
    <t>RP-08-09</t>
  </si>
  <si>
    <t>RP-08-10</t>
  </si>
  <si>
    <t>RP-08-11</t>
  </si>
  <si>
    <t>RP-08-12</t>
  </si>
  <si>
    <t>RP-08-13</t>
  </si>
  <si>
    <t>RP-08-14</t>
  </si>
  <si>
    <t>RP-08-15</t>
  </si>
  <si>
    <t>RP-08-16</t>
  </si>
  <si>
    <t>RP-08-17</t>
  </si>
  <si>
    <t>RP-08-18</t>
  </si>
  <si>
    <t>RP-08-19</t>
  </si>
  <si>
    <t>RP-08-20</t>
  </si>
  <si>
    <t>RP-08-21</t>
  </si>
  <si>
    <t>RP-08-22</t>
  </si>
  <si>
    <t>RP-08-23</t>
  </si>
  <si>
    <t>RP-08-24</t>
  </si>
  <si>
    <t>RP-08-25</t>
  </si>
  <si>
    <t>RP-08-26</t>
  </si>
  <si>
    <t>RP-08-27</t>
  </si>
  <si>
    <t>RP-08-28</t>
  </si>
  <si>
    <t>RP-08-29</t>
  </si>
  <si>
    <t>RP-08-30</t>
  </si>
  <si>
    <t>RP-08-31</t>
  </si>
  <si>
    <t>RP-08-32</t>
  </si>
  <si>
    <t>RP-08-33</t>
  </si>
  <si>
    <t>RP-09-01</t>
  </si>
  <si>
    <t>RP-09-02</t>
  </si>
  <si>
    <t>RP-09-03</t>
  </si>
  <si>
    <t>RP-09-04</t>
  </si>
  <si>
    <t>RP-09-05</t>
  </si>
  <si>
    <t>RP-09-06</t>
  </si>
  <si>
    <t>RP-09-07</t>
  </si>
  <si>
    <t>RP-09-08</t>
  </si>
  <si>
    <t>RP-09-09</t>
  </si>
  <si>
    <t>RP-09-10</t>
  </si>
  <si>
    <t>RP-09-11</t>
  </si>
  <si>
    <t>RP-09-12</t>
  </si>
  <si>
    <t>RP-09-13</t>
  </si>
  <si>
    <t>RP-09-14</t>
  </si>
  <si>
    <t>RP-09-15</t>
  </si>
  <si>
    <t>RP-09-16</t>
  </si>
  <si>
    <t>RP-09-17</t>
  </si>
  <si>
    <t>RP-09-18</t>
  </si>
  <si>
    <t>RP-09-19</t>
  </si>
  <si>
    <t>RP-09-20</t>
  </si>
  <si>
    <t>RP-09-21</t>
  </si>
  <si>
    <t>RP-09-22</t>
  </si>
  <si>
    <t>RP-09-23</t>
  </si>
  <si>
    <t>RP-09-24</t>
  </si>
  <si>
    <t>RP-09-25</t>
  </si>
  <si>
    <t>RP-10-01</t>
  </si>
  <si>
    <t>RP-10-02</t>
  </si>
  <si>
    <t>RP-10-03</t>
  </si>
  <si>
    <t>RP-10-04</t>
  </si>
  <si>
    <t>RP-10-05</t>
  </si>
  <si>
    <t>RP-10-06</t>
  </si>
  <si>
    <t>RP-10-07</t>
  </si>
  <si>
    <t>RP-10-08</t>
  </si>
  <si>
    <t>RP-10-09</t>
  </si>
  <si>
    <t>RP-10-10</t>
  </si>
  <si>
    <t>RP-10-11</t>
  </si>
  <si>
    <t>RP-10-12</t>
  </si>
  <si>
    <t>RP-10-13</t>
  </si>
  <si>
    <t>RP-10-14</t>
  </si>
  <si>
    <t>RP-10-15</t>
  </si>
  <si>
    <t>RP-10-16</t>
  </si>
  <si>
    <t>RP-10-17</t>
  </si>
  <si>
    <t>RP-11-01</t>
  </si>
  <si>
    <t>RP-11-02</t>
  </si>
  <si>
    <t>RP-11-03</t>
  </si>
  <si>
    <t>RP-11-04</t>
  </si>
  <si>
    <t>RP-11-05</t>
  </si>
  <si>
    <t>RP-11-06</t>
  </si>
  <si>
    <t>RP-11-07</t>
  </si>
  <si>
    <t>RP-11-08</t>
  </si>
  <si>
    <t>RP-11-09</t>
  </si>
  <si>
    <t>RP-11-10</t>
  </si>
  <si>
    <t>RP-11-11</t>
  </si>
  <si>
    <t>RP-11-12</t>
  </si>
  <si>
    <t>RP-11-13</t>
  </si>
  <si>
    <t>RP-11-14</t>
  </si>
  <si>
    <t>RP-11-15</t>
  </si>
  <si>
    <t>RP-11-16</t>
  </si>
  <si>
    <t>RP-11-17</t>
  </si>
  <si>
    <t>RP-11-18</t>
  </si>
  <si>
    <t>RP-11-19</t>
  </si>
  <si>
    <t>RP-11-20</t>
  </si>
  <si>
    <t>RP-11-21</t>
  </si>
  <si>
    <t>RP-11-22</t>
  </si>
  <si>
    <t>RP-11-23</t>
  </si>
  <si>
    <t>RP-11-24</t>
  </si>
  <si>
    <t>RP-11-25</t>
  </si>
  <si>
    <t>RP-11-26</t>
  </si>
  <si>
    <t>RP-11-27</t>
  </si>
  <si>
    <t>RP-11-28</t>
  </si>
  <si>
    <t>RP-11-29</t>
  </si>
  <si>
    <t>RP-11-30</t>
  </si>
  <si>
    <t>RP-11-31</t>
  </si>
  <si>
    <t>RP-11-32</t>
  </si>
  <si>
    <t>RP-11-33</t>
  </si>
  <si>
    <t>RP-11-34</t>
  </si>
  <si>
    <t>RP-11-35</t>
  </si>
  <si>
    <t>RP-11-36</t>
  </si>
  <si>
    <t>RP-11-37</t>
  </si>
  <si>
    <t>RP-11-38</t>
  </si>
  <si>
    <t>RP-11-39</t>
  </si>
  <si>
    <t>RP-11-40</t>
  </si>
  <si>
    <t>RP-11-41</t>
  </si>
  <si>
    <t>RP-11-42</t>
  </si>
  <si>
    <t>RP-11-43</t>
  </si>
  <si>
    <t>RP-11-44</t>
  </si>
  <si>
    <t>RP-11-45</t>
  </si>
  <si>
    <t>RP-11-46</t>
  </si>
  <si>
    <t>RP-12-01</t>
  </si>
  <si>
    <t>RP-12-02</t>
  </si>
  <si>
    <t>RP-12-03</t>
  </si>
  <si>
    <t>RP-12-04</t>
  </si>
  <si>
    <t>RP-12-05</t>
  </si>
  <si>
    <t>existence of instance</t>
  </si>
  <si>
    <t>RP-12-06</t>
  </si>
  <si>
    <t>RP-12-07</t>
  </si>
  <si>
    <t>RP-12-08</t>
  </si>
  <si>
    <t>RP-12-09</t>
  </si>
  <si>
    <t>RP-12-10</t>
  </si>
  <si>
    <t>RP-12-11</t>
  </si>
  <si>
    <t>RP-12-12</t>
  </si>
  <si>
    <t>RP-12-13</t>
  </si>
  <si>
    <t>RP-12-14</t>
  </si>
  <si>
    <t>RP-12-15</t>
  </si>
  <si>
    <t>RP-12-16</t>
  </si>
  <si>
    <t>RP-12-17</t>
  </si>
  <si>
    <t>RP-12-18</t>
  </si>
  <si>
    <t>RP-12-19</t>
  </si>
  <si>
    <t>RP-12-20</t>
  </si>
  <si>
    <t>RP-12-21</t>
  </si>
  <si>
    <t>RP-12-22</t>
  </si>
  <si>
    <t>RP-12-23</t>
  </si>
  <si>
    <t>RP-12-24</t>
  </si>
  <si>
    <t>RP-12-25</t>
  </si>
  <si>
    <t>RP-12-26</t>
  </si>
  <si>
    <t>RP-12-27</t>
  </si>
  <si>
    <t>RP-12-28</t>
  </si>
  <si>
    <t>RP-12-29</t>
  </si>
  <si>
    <t>RP-12-30</t>
  </si>
  <si>
    <t>RP-12-31</t>
  </si>
  <si>
    <t>RP-12-32</t>
  </si>
  <si>
    <t>RP-12-33</t>
  </si>
  <si>
    <t>RP-12-34</t>
  </si>
  <si>
    <t>RP-12-35</t>
  </si>
  <si>
    <t>RP-12-36</t>
  </si>
  <si>
    <t>RP-12-37</t>
  </si>
  <si>
    <t>RP-12-38</t>
  </si>
  <si>
    <t>RP-12-39</t>
  </si>
  <si>
    <t>RP-12-40</t>
  </si>
  <si>
    <t>RP-12-41</t>
  </si>
  <si>
    <t>RP-12-42</t>
  </si>
  <si>
    <t>RP-12-43</t>
  </si>
  <si>
    <t>RP-12-44</t>
  </si>
  <si>
    <t>RP-12-45</t>
  </si>
  <si>
    <t>RP-13-01</t>
  </si>
  <si>
    <t>RP-13-02</t>
  </si>
  <si>
    <t>RP-13-03</t>
  </si>
  <si>
    <t>RP-13-04</t>
  </si>
  <si>
    <t>RP-13-05</t>
  </si>
  <si>
    <t>RP-13-06</t>
  </si>
  <si>
    <t>RP-13-07</t>
  </si>
  <si>
    <t>RP-13-08</t>
  </si>
  <si>
    <t>RP-13-09</t>
  </si>
  <si>
    <t>RP-13-10</t>
  </si>
  <si>
    <t>RP-13-11</t>
  </si>
  <si>
    <t>RP-13-12</t>
  </si>
  <si>
    <t>RP-13-13</t>
  </si>
  <si>
    <t>RP-13-14</t>
  </si>
  <si>
    <t>RP-13-15</t>
  </si>
  <si>
    <t>RP-13-16</t>
  </si>
  <si>
    <t>RP-13-17</t>
  </si>
  <si>
    <t>RP-13-18</t>
  </si>
  <si>
    <t>RP-13-19</t>
  </si>
  <si>
    <t>RP-13-20</t>
  </si>
  <si>
    <t>RP-13-21</t>
  </si>
  <si>
    <t>RP-13-22</t>
  </si>
  <si>
    <t>RP-13-23</t>
  </si>
  <si>
    <t>RP-13-24</t>
  </si>
  <si>
    <t>RP-13-25</t>
  </si>
  <si>
    <t>RP-13-26</t>
  </si>
  <si>
    <t>RP-13-27</t>
  </si>
  <si>
    <t>Group</t>
  </si>
  <si>
    <t>Field</t>
  </si>
  <si>
    <t>Allowed values</t>
  </si>
  <si>
    <t>Pre-fill</t>
  </si>
  <si>
    <t>Identity</t>
  </si>
  <si>
    <t>Unique identifier of the data element: RP-&lt;module&gt;-&lt;sequence&gt;.</t>
  </si>
  <si>
    <t>RP-01-01, RP-01-02, ...</t>
  </si>
  <si>
    <t>Generated</t>
  </si>
  <si>
    <t>One-sentence definition of the data element as used in the Renovation Passport.</t>
  </si>
  <si>
    <t>Free text</t>
  </si>
  <si>
    <t>To fill in</t>
  </si>
  <si>
    <t>Requirement</t>
  </si>
  <si>
    <t>Whether the element must or may be part of the Renovation Passport.</t>
  </si>
  <si>
    <t>Mandatory; Optional; Out of scope; N/A</t>
  </si>
  <si>
    <t>Out of scope where BRP Relevance = No; to decide for the rest</t>
  </si>
  <si>
    <t>Source of the requirement.</t>
  </si>
  <si>
    <t>EPBD IV; ISO 52000 series; NTA 8800; Use case; Initiatives; Stakeholder</t>
  </si>
  <si>
    <t>Use case(s) that need the element.</t>
  </si>
  <si>
    <t>UC ids, e.g. UC1; UC3</t>
  </si>
  <si>
    <t>Characteristics</t>
  </si>
  <si>
    <t>Kind of value.</t>
  </si>
  <si>
    <t>numeric; categorical; boolean; date; text; document; geometry; time series; reference; composite</t>
  </si>
  <si>
    <t>Derived from the mapped Energy ADE type (verify)</t>
  </si>
  <si>
    <t>Unit of measurement or the code list of allowed values.</t>
  </si>
  <si>
    <t>e.g. m2; W/m2K; kWh/m2.yr; code list name</t>
  </si>
  <si>
    <t>Required accuracy or level of detail.</t>
  </si>
  <si>
    <t>e.g. +/- 5%; declared; measured; estimated</t>
  </si>
  <si>
    <t>Level of the building at which the element is recorded.</t>
  </si>
  <si>
    <t>building; unit; zone; component; site / context; any level</t>
  </si>
  <si>
    <t>Derived from the mapped class (verify)</t>
  </si>
  <si>
    <t>How the value behaves over time.</t>
  </si>
  <si>
    <t>static; historical; periodic; real-time</t>
  </si>
  <si>
    <t>periodic for time series, historical for interventions (verify); rest to fill in</t>
  </si>
  <si>
    <t>Governance</t>
  </si>
  <si>
    <t>Preliminary sensitivity class (refined in D1.4).</t>
  </si>
  <si>
    <t>Public; Restricted; Personal data (GDPR); Commercially sensitive</t>
  </si>
  <si>
    <t>Party that owns or holds the data.</t>
  </si>
  <si>
    <t>e.g. Owner; VvE; Kadaster; RVO; Municipality; Assessor; Grid operator; Installer</t>
  </si>
  <si>
    <t>Preliminary data source (verified in D1.2).</t>
  </si>
  <si>
    <t>e.g. BAG; 3D BAG; BRK; EP-Online; WOZ; Grid operator; VvE records; Inspection; BIM</t>
  </si>
  <si>
    <t>How the data is obtained.</t>
  </si>
  <si>
    <t>open data; API; manual input; inspection; derived</t>
  </si>
  <si>
    <t>Specification</t>
  </si>
  <si>
    <t>How the element is represented in CityGML / Energy ADE 3.0.</t>
  </si>
  <si>
    <t>Native; Workaround; Extension needed; Out of scope; N/A</t>
  </si>
  <si>
    <t>Derived from Namespace/Class/Attribute (verify)</t>
  </si>
  <si>
    <t>Mechanism used when the mapping is a workaround.</t>
  </si>
  <si>
    <t>indicator; ExternalReference; CityObjectRelation; existence of instance; composition</t>
  </si>
  <si>
    <t>Derived (verify)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</si>
</sst>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82A2C"/>
      <name val="Calibri"/>
      <family val="2"/>
      <scheme val="minor"/>
    </font>
    <font>
      <sz val="11"/>
      <color theme="1"/>
      <name val="Calibri"/>
      <charset val="1"/>
    </font>
    <font>
      <sz val="11"/>
      <color theme="1"/>
      <name val="Calibri  "/>
    </font>
    <font>
      <sz val="11"/>
      <color rgb="FF242424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</font>
    <font>
      <sz val="11"/>
      <color rgb="FFFF0000"/>
      <name val="Calibri"/>
      <scheme val="minor"/>
    </font>
    <font>
      <sz val="11"/>
      <name val="Calibri"/>
      <scheme val="minor"/>
    </font>
    <font>
      <sz val="11"/>
      <color rgb="FF282A2C"/>
      <name val="Calibri"/>
      <scheme val="minor"/>
    </font>
    <font>
      <sz val="11"/>
      <name val="Calibri"/>
      <family val="2"/>
    </font>
    <font>
      <sz val="11"/>
      <color rgb="FF000000"/>
      <name val="Calibri"/>
      <scheme val="minor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E6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/>
  </cellStyleXfs>
  <cellXfs count="90">
    <xf numFmtId="0" fontId="0" fillId="0" borderId="0" xfId="0"/>
    <xf numFmtId="9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textRotation="45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horizontal="center" vertical="center" textRotation="45" wrapText="1"/>
    </xf>
    <xf numFmtId="0" fontId="6" fillId="0" borderId="0" xfId="0" applyFont="1" applyAlignment="1">
      <alignment wrapText="1"/>
    </xf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 applyAlignment="1">
      <alignment wrapText="1"/>
    </xf>
    <xf numFmtId="9" fontId="0" fillId="2" borderId="0" xfId="1" applyFont="1" applyFill="1" applyAlignment="1">
      <alignment horizontal="center"/>
    </xf>
    <xf numFmtId="0" fontId="7" fillId="0" borderId="0" xfId="0" applyFont="1" applyAlignment="1">
      <alignment readingOrder="1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0" fillId="0" borderId="0" xfId="0" applyAlignment="1">
      <alignment vertical="top"/>
    </xf>
    <xf numFmtId="0" fontId="5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5" fillId="0" borderId="0" xfId="0" applyFont="1" applyAlignment="1">
      <alignment horizontal="center" readingOrder="1"/>
    </xf>
    <xf numFmtId="0" fontId="5" fillId="0" borderId="0" xfId="0" applyFont="1" applyAlignment="1">
      <alignment readingOrder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 readingOrder="1"/>
    </xf>
    <xf numFmtId="0" fontId="0" fillId="0" borderId="0" xfId="0" applyAlignment="1">
      <alignment readingOrder="1"/>
    </xf>
    <xf numFmtId="0" fontId="0" fillId="0" borderId="0" xfId="0" applyAlignment="1">
      <alignment horizontal="center" wrapText="1" readingOrder="1"/>
    </xf>
    <xf numFmtId="0" fontId="0" fillId="0" borderId="0" xfId="0" applyAlignment="1">
      <alignment wrapText="1" readingOrder="1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left"/>
    </xf>
    <xf numFmtId="0" fontId="11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readingOrder="1"/>
    </xf>
    <xf numFmtId="0" fontId="0" fillId="0" borderId="0" xfId="0" applyAlignment="1">
      <alignment horizontal="center" vertical="top"/>
    </xf>
    <xf numFmtId="0" fontId="10" fillId="0" borderId="0" xfId="0" applyFont="1" applyAlignment="1">
      <alignment readingOrder="1"/>
    </xf>
    <xf numFmtId="0" fontId="0" fillId="0" borderId="0" xfId="0" applyAlignment="1">
      <alignment vertical="top" wrapText="1"/>
    </xf>
    <xf numFmtId="0" fontId="13" fillId="0" borderId="0" xfId="0" applyFont="1" applyAlignment="1">
      <alignment readingOrder="1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vertical="top"/>
    </xf>
    <xf numFmtId="0" fontId="13" fillId="0" borderId="0" xfId="0" applyFont="1" applyAlignment="1">
      <alignment wrapText="1" readingOrder="1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3" fillId="0" borderId="0" xfId="0" quotePrefix="1" applyFont="1" applyAlignment="1">
      <alignment readingOrder="1"/>
    </xf>
    <xf numFmtId="0" fontId="16" fillId="0" borderId="0" xfId="0" applyFont="1" applyAlignment="1">
      <alignment horizontal="left" wrapText="1"/>
    </xf>
    <xf numFmtId="0" fontId="12" fillId="2" borderId="0" xfId="0" applyFont="1" applyFill="1"/>
    <xf numFmtId="0" fontId="13" fillId="2" borderId="0" xfId="0" applyFont="1" applyFill="1" applyAlignment="1">
      <alignment readingOrder="1"/>
    </xf>
    <xf numFmtId="0" fontId="13" fillId="0" borderId="0" xfId="0" applyFont="1" applyAlignment="1">
      <alignment horizontal="left" readingOrder="1"/>
    </xf>
    <xf numFmtId="0" fontId="13" fillId="2" borderId="0" xfId="0" applyFont="1" applyFill="1" applyAlignment="1">
      <alignment horizontal="left" readingOrder="1"/>
    </xf>
    <xf numFmtId="0" fontId="17" fillId="0" borderId="0" xfId="0" applyFont="1" applyAlignment="1">
      <alignment vertical="top"/>
    </xf>
    <xf numFmtId="0" fontId="15" fillId="2" borderId="0" xfId="0" applyFont="1" applyFill="1"/>
    <xf numFmtId="0" fontId="15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18" fillId="0" borderId="0" xfId="0" applyFont="1" applyAlignment="1">
      <alignment horizontal="center" vertical="center" textRotation="45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textRotation="45"/>
    </xf>
    <xf numFmtId="9" fontId="3" fillId="0" borderId="0" xfId="1" applyFont="1" applyAlignment="1">
      <alignment horizontal="center"/>
    </xf>
    <xf numFmtId="0" fontId="19" fillId="0" borderId="0" xfId="0" applyFont="1" applyAlignment="1">
      <alignment readingOrder="1"/>
    </xf>
    <xf numFmtId="0" fontId="19" fillId="0" borderId="0" xfId="0" applyFont="1" applyAlignment="1">
      <alignment horizontal="left" readingOrder="1"/>
    </xf>
    <xf numFmtId="0" fontId="13" fillId="0" borderId="0" xfId="0" applyFont="1" applyAlignment="1">
      <alignment horizontal="center" wrapText="1" readingOrder="1"/>
    </xf>
    <xf numFmtId="0" fontId="13" fillId="0" borderId="0" xfId="0" applyFont="1" applyAlignment="1">
      <alignment horizontal="center" readingOrder="1"/>
    </xf>
    <xf numFmtId="0" fontId="13" fillId="2" borderId="0" xfId="0" applyFont="1" applyFill="1" applyAlignment="1">
      <alignment horizontal="center" readingOrder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textRotation="45"/>
    </xf>
    <xf numFmtId="0" fontId="1" fillId="0" borderId="0" xfId="0" applyFont="1" applyAlignment="1">
      <alignment horizontal="center" vertical="center" textRotation="45" wrapText="1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9" fontId="1" fillId="0" borderId="0" xfId="1" applyFont="1" applyAlignment="1">
      <alignment horizontal="center"/>
    </xf>
    <xf numFmtId="0" fontId="1" fillId="2" borderId="0" xfId="0" applyFont="1" applyFill="1" applyAlignment="1">
      <alignment horizontal="center"/>
    </xf>
    <xf numFmtId="9" fontId="1" fillId="2" borderId="0" xfId="1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an Schlosser" id="{D4778285-9AD1-47B9-870F-BCD92AE630FF}" userId="d4fc574483d29a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9" dT="2026-05-06T08:15:08.37" personId="{D4778285-9AD1-47B9-870F-BCD92AE630FF}" id="{7FEF091E-034B-4E50-A56A-1AB3990336FA}">
    <text>Check part is missing?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5133F8A-832B-47A3-B058-C165C0D6D560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e28011e-7705-4e6d-b664-d1dd0674b5e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AN11"/>
  <sheetViews>
    <sheetView tabSelected="1" zoomScale="135" zoomScaleNormal="70"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R15" sqref="R15"/>
    </sheetView>
  </sheetViews>
  <sheetFormatPr defaultColWidth="9.28515625" defaultRowHeight="15" customHeight="1"/>
  <cols>
    <col min="1" max="1" width="50.7109375" customWidth="1"/>
    <col min="2" max="17" width="13.7109375" customWidth="1"/>
    <col min="18" max="18" width="13.7109375" style="2" customWidth="1"/>
    <col min="19" max="19" width="20.7109375" style="2" customWidth="1"/>
    <col min="20" max="21" width="20.7109375" customWidth="1"/>
    <col min="22" max="22" width="24.7109375" customWidth="1"/>
    <col min="23" max="23" width="16.7109375" customWidth="1"/>
    <col min="25" max="40" width="16.7109375" customWidth="1"/>
  </cols>
  <sheetData>
    <row r="1" spans="1:40" ht="75" customHeight="1">
      <c r="A1" s="68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67" t="s">
        <v>17</v>
      </c>
      <c r="S1" s="67" t="s">
        <v>18</v>
      </c>
      <c r="T1" s="12" t="s">
        <v>19</v>
      </c>
      <c r="U1" s="12" t="s">
        <v>20</v>
      </c>
      <c r="V1" s="3" t="s">
        <v>21</v>
      </c>
      <c r="W1" s="3" t="s">
        <v>22</v>
      </c>
      <c r="X1" s="3" t="s">
        <v>23</v>
      </c>
      <c r="Y1" s="3" t="s">
        <v>862</v>
      </c>
      <c r="Z1" s="3" t="s">
        <v>863</v>
      </c>
      <c r="AA1" s="3" t="s">
        <v>864</v>
      </c>
      <c r="AB1" s="3" t="s">
        <v>865</v>
      </c>
      <c r="AC1" s="3" t="s">
        <v>866</v>
      </c>
      <c r="AD1" s="3" t="s">
        <v>867</v>
      </c>
      <c r="AE1" s="3" t="s">
        <v>868</v>
      </c>
      <c r="AF1" s="3" t="s">
        <v>869</v>
      </c>
      <c r="AG1" s="3" t="s">
        <v>870</v>
      </c>
      <c r="AH1" s="3" t="s">
        <v>871</v>
      </c>
      <c r="AI1" s="3" t="s">
        <v>872</v>
      </c>
      <c r="AJ1" s="3" t="s">
        <v>873</v>
      </c>
      <c r="AK1" s="3" t="s">
        <v>874</v>
      </c>
      <c r="AL1" s="3" t="s">
        <v>875</v>
      </c>
      <c r="AM1" s="3" t="s">
        <v>876</v>
      </c>
      <c r="AN1" s="3" t="s">
        <v>877</v>
      </c>
    </row>
    <row r="2" spans="1:40" ht="14.45" customHeight="1">
      <c r="A2" s="10" t="s">
        <v>24</v>
      </c>
      <c r="B2" s="2" t="s">
        <v>25</v>
      </c>
      <c r="C2" s="2" t="s">
        <v>25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64" t="s">
        <v>25</v>
      </c>
      <c r="P2" s="2">
        <f>COUNTIF(B2:O2,"✔")</f>
        <v>14</v>
      </c>
      <c r="Q2" s="1">
        <f>P2/14</f>
        <v>1</v>
      </c>
      <c r="R2" s="4" t="s">
        <v>26</v>
      </c>
      <c r="S2" t="s">
        <v>27</v>
      </c>
      <c r="T2" s="2" t="s">
        <v>28</v>
      </c>
      <c r="U2" s="2" t="s">
        <v>29</v>
      </c>
      <c r="V2" s="20" t="s">
        <v>30</v>
      </c>
      <c r="W2" s="21" t="s">
        <v>31</v>
      </c>
      <c r="X2" s="19" t="s">
        <v>31</v>
      </c>
      <c r="Y2" t="s">
        <v>878</v>
      </c>
      <c r="AD2" t="s">
        <v>879</v>
      </c>
      <c r="AG2" t="s">
        <v>880</v>
      </c>
      <c r="AM2" t="s">
        <v>881</v>
      </c>
    </row>
    <row r="3" spans="1:40" ht="14.45" customHeight="1">
      <c r="A3" s="10" t="s">
        <v>32</v>
      </c>
      <c r="B3" s="2" t="s">
        <v>25</v>
      </c>
      <c r="C3" s="5" t="s">
        <v>33</v>
      </c>
      <c r="D3" s="2" t="s">
        <v>25</v>
      </c>
      <c r="E3" s="2" t="s">
        <v>25</v>
      </c>
      <c r="F3" s="2" t="s">
        <v>25</v>
      </c>
      <c r="G3" s="2" t="s">
        <v>25</v>
      </c>
      <c r="H3" s="2" t="s">
        <v>25</v>
      </c>
      <c r="I3" s="2" t="s">
        <v>25</v>
      </c>
      <c r="J3" s="2" t="s">
        <v>25</v>
      </c>
      <c r="K3" s="2" t="s">
        <v>25</v>
      </c>
      <c r="L3" s="2" t="s">
        <v>25</v>
      </c>
      <c r="M3" s="2" t="s">
        <v>25</v>
      </c>
      <c r="N3" s="5" t="s">
        <v>33</v>
      </c>
      <c r="O3" s="5" t="s">
        <v>33</v>
      </c>
      <c r="P3" s="2">
        <f>COUNTIF(B3:O3,"✔")</f>
        <v>11</v>
      </c>
      <c r="Q3" s="1">
        <f>P3/14</f>
        <v>0.7857142857142857</v>
      </c>
      <c r="R3" s="4" t="s">
        <v>26</v>
      </c>
      <c r="S3" t="s">
        <v>27</v>
      </c>
      <c r="T3" s="2" t="s">
        <v>34</v>
      </c>
      <c r="U3" s="2" t="s">
        <v>29</v>
      </c>
      <c r="V3" s="20" t="s">
        <v>35</v>
      </c>
      <c r="W3" s="21" t="s">
        <v>36</v>
      </c>
      <c r="X3" s="19" t="s">
        <v>37</v>
      </c>
      <c r="Y3" t="s">
        <v>882</v>
      </c>
      <c r="AD3" t="s">
        <v>883</v>
      </c>
      <c r="AG3" t="s">
        <v>884</v>
      </c>
      <c r="AM3" t="s">
        <v>881</v>
      </c>
    </row>
    <row r="4" spans="1:40" ht="14.45" customHeight="1">
      <c r="A4" s="10" t="s">
        <v>38</v>
      </c>
      <c r="B4" s="2" t="s">
        <v>25</v>
      </c>
      <c r="C4" s="2" t="s">
        <v>25</v>
      </c>
      <c r="D4" s="2" t="s">
        <v>25</v>
      </c>
      <c r="E4" s="2" t="s">
        <v>25</v>
      </c>
      <c r="F4" s="2" t="s">
        <v>25</v>
      </c>
      <c r="G4" s="2" t="s">
        <v>25</v>
      </c>
      <c r="H4" s="2" t="s">
        <v>25</v>
      </c>
      <c r="I4" s="2" t="s">
        <v>25</v>
      </c>
      <c r="J4" s="5" t="s">
        <v>33</v>
      </c>
      <c r="K4" s="2" t="s">
        <v>25</v>
      </c>
      <c r="L4" s="2" t="s">
        <v>25</v>
      </c>
      <c r="M4" s="2" t="s">
        <v>25</v>
      </c>
      <c r="N4" s="2" t="s">
        <v>25</v>
      </c>
      <c r="O4" s="2" t="s">
        <v>25</v>
      </c>
      <c r="P4" s="2">
        <f>COUNTIF(B4:O4,"✔")</f>
        <v>13</v>
      </c>
      <c r="Q4" s="1">
        <f>P4/14</f>
        <v>0.9285714285714286</v>
      </c>
      <c r="R4" s="4" t="s">
        <v>26</v>
      </c>
      <c r="S4" t="s">
        <v>39</v>
      </c>
      <c r="T4" s="2" t="s">
        <v>34</v>
      </c>
      <c r="U4" s="2" t="s">
        <v>40</v>
      </c>
      <c r="V4" s="20" t="s">
        <v>41</v>
      </c>
      <c r="W4" s="21" t="s">
        <v>42</v>
      </c>
      <c r="X4" s="19" t="s">
        <v>43</v>
      </c>
      <c r="Y4" t="s">
        <v>885</v>
      </c>
      <c r="AD4" t="s">
        <v>886</v>
      </c>
      <c r="AG4" t="s">
        <v>880</v>
      </c>
      <c r="AM4" t="s">
        <v>881</v>
      </c>
    </row>
    <row r="5" spans="1:40" ht="14.45" customHeight="1">
      <c r="A5" s="10"/>
      <c r="B5" s="2"/>
      <c r="C5" s="2"/>
      <c r="D5" s="2"/>
      <c r="E5" s="2"/>
      <c r="F5" s="2"/>
      <c r="G5" s="2"/>
      <c r="H5" s="2"/>
      <c r="I5" s="2"/>
      <c r="J5" s="5"/>
      <c r="K5" s="2"/>
      <c r="L5" s="2"/>
      <c r="M5" s="5"/>
      <c r="N5" s="2"/>
      <c r="O5" s="2"/>
      <c r="P5" s="2"/>
      <c r="Q5" s="1"/>
      <c r="R5" s="4"/>
      <c r="S5"/>
      <c r="T5" s="2" t="s">
        <v>34</v>
      </c>
      <c r="U5" s="2" t="s">
        <v>40</v>
      </c>
      <c r="V5" s="20" t="s">
        <v>41</v>
      </c>
      <c r="W5" s="21" t="s">
        <v>44</v>
      </c>
      <c r="X5" s="19" t="s">
        <v>45</v>
      </c>
    </row>
    <row r="6" spans="1:40" ht="14.45" customHeight="1">
      <c r="A6" s="10" t="s">
        <v>46</v>
      </c>
      <c r="B6" s="2" t="s">
        <v>25</v>
      </c>
      <c r="C6" s="2" t="s">
        <v>25</v>
      </c>
      <c r="D6" s="2" t="s">
        <v>25</v>
      </c>
      <c r="E6" s="2" t="s">
        <v>25</v>
      </c>
      <c r="F6" s="2" t="s">
        <v>25</v>
      </c>
      <c r="G6" s="2" t="s">
        <v>25</v>
      </c>
      <c r="H6" s="2" t="s">
        <v>25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33</v>
      </c>
      <c r="N6" s="5" t="s">
        <v>33</v>
      </c>
      <c r="O6" s="5" t="s">
        <v>33</v>
      </c>
      <c r="P6" s="2">
        <f>COUNTIF(B6:O6,"✔")</f>
        <v>7</v>
      </c>
      <c r="Q6" s="1">
        <f>P6/14</f>
        <v>0.5</v>
      </c>
      <c r="R6" s="4" t="s">
        <v>26</v>
      </c>
      <c r="S6" t="s">
        <v>47</v>
      </c>
      <c r="T6" s="2" t="s">
        <v>34</v>
      </c>
      <c r="U6" s="2" t="s">
        <v>29</v>
      </c>
      <c r="V6" s="20" t="s">
        <v>35</v>
      </c>
      <c r="W6" s="21" t="s">
        <v>48</v>
      </c>
      <c r="X6" s="19" t="s">
        <v>49</v>
      </c>
      <c r="Y6" t="s">
        <v>887</v>
      </c>
      <c r="AD6" t="s">
        <v>243</v>
      </c>
      <c r="AG6" t="s">
        <v>884</v>
      </c>
      <c r="AM6" t="s">
        <v>881</v>
      </c>
    </row>
    <row r="7" spans="1:40" ht="14.45" customHeight="1">
      <c r="A7" s="10" t="s">
        <v>50</v>
      </c>
      <c r="B7" s="2" t="s">
        <v>25</v>
      </c>
      <c r="C7" s="2" t="s">
        <v>25</v>
      </c>
      <c r="D7" s="5" t="s">
        <v>33</v>
      </c>
      <c r="E7" s="2" t="s">
        <v>25</v>
      </c>
      <c r="F7" s="5" t="s">
        <v>33</v>
      </c>
      <c r="G7" s="2" t="s">
        <v>25</v>
      </c>
      <c r="H7" s="5" t="s">
        <v>33</v>
      </c>
      <c r="I7" s="2" t="s">
        <v>25</v>
      </c>
      <c r="J7" s="2" t="s">
        <v>25</v>
      </c>
      <c r="K7" s="2" t="s">
        <v>25</v>
      </c>
      <c r="L7" s="5" t="s">
        <v>33</v>
      </c>
      <c r="M7" s="5" t="s">
        <v>33</v>
      </c>
      <c r="N7" s="2" t="s">
        <v>25</v>
      </c>
      <c r="O7" s="64" t="s">
        <v>25</v>
      </c>
      <c r="P7" s="2">
        <f>COUNTIF(B7:O7,"✔")</f>
        <v>9</v>
      </c>
      <c r="Q7" s="1">
        <f>P7/14</f>
        <v>0.6428571428571429</v>
      </c>
      <c r="R7" s="4" t="s">
        <v>26</v>
      </c>
      <c r="S7" t="s">
        <v>51</v>
      </c>
      <c r="T7" s="2" t="s">
        <v>34</v>
      </c>
      <c r="U7" s="8" t="s">
        <v>52</v>
      </c>
      <c r="V7" s="19" t="s">
        <v>53</v>
      </c>
      <c r="W7" s="19" t="s">
        <v>31</v>
      </c>
      <c r="X7" s="19" t="s">
        <v>31</v>
      </c>
      <c r="Y7" t="s">
        <v>888</v>
      </c>
      <c r="AD7" t="s">
        <v>879</v>
      </c>
      <c r="AG7" t="s">
        <v>884</v>
      </c>
      <c r="AM7" t="s">
        <v>881</v>
      </c>
    </row>
    <row r="8" spans="1:40" ht="14.45" customHeight="1">
      <c r="A8" s="10" t="s">
        <v>54</v>
      </c>
      <c r="B8" s="5" t="s">
        <v>33</v>
      </c>
      <c r="C8" s="5" t="s">
        <v>33</v>
      </c>
      <c r="D8" s="2" t="s">
        <v>25</v>
      </c>
      <c r="E8" s="2" t="s">
        <v>25</v>
      </c>
      <c r="F8" s="2" t="s">
        <v>25</v>
      </c>
      <c r="G8" s="5" t="s">
        <v>33</v>
      </c>
      <c r="H8" s="2" t="s">
        <v>25</v>
      </c>
      <c r="I8" s="5" t="s">
        <v>33</v>
      </c>
      <c r="J8" s="2" t="s">
        <v>25</v>
      </c>
      <c r="K8" s="2" t="s">
        <v>25</v>
      </c>
      <c r="L8" s="2" t="s">
        <v>25</v>
      </c>
      <c r="M8" s="5" t="s">
        <v>33</v>
      </c>
      <c r="N8" s="5" t="s">
        <v>33</v>
      </c>
      <c r="O8" s="5" t="s">
        <v>33</v>
      </c>
      <c r="P8" s="2">
        <f>COUNTIF(B8:O8,"✔")</f>
        <v>7</v>
      </c>
      <c r="Q8" s="1">
        <f>P8/14</f>
        <v>0.5</v>
      </c>
      <c r="R8" s="4" t="s">
        <v>26</v>
      </c>
      <c r="S8" t="s">
        <v>55</v>
      </c>
      <c r="T8" s="2" t="s">
        <v>34</v>
      </c>
      <c r="U8" s="2" t="s">
        <v>40</v>
      </c>
      <c r="V8" s="19" t="s">
        <v>56</v>
      </c>
      <c r="W8" s="19" t="s">
        <v>57</v>
      </c>
      <c r="X8" s="19"/>
      <c r="Y8" t="s">
        <v>889</v>
      </c>
      <c r="AG8" t="s">
        <v>890</v>
      </c>
      <c r="AM8" t="s">
        <v>881</v>
      </c>
      <c r="AN8" t="s">
        <v>891</v>
      </c>
    </row>
    <row r="9" spans="1:40" ht="14.45" customHeight="1">
      <c r="A9" s="10" t="s">
        <v>58</v>
      </c>
      <c r="B9" s="5" t="s">
        <v>33</v>
      </c>
      <c r="C9" s="5" t="s">
        <v>33</v>
      </c>
      <c r="D9" s="2" t="s">
        <v>25</v>
      </c>
      <c r="E9" s="2" t="s">
        <v>25</v>
      </c>
      <c r="F9" s="5" t="s">
        <v>33</v>
      </c>
      <c r="G9" s="2" t="s">
        <v>25</v>
      </c>
      <c r="H9" s="5" t="s">
        <v>33</v>
      </c>
      <c r="I9" s="2" t="s">
        <v>25</v>
      </c>
      <c r="J9" s="2" t="s">
        <v>25</v>
      </c>
      <c r="K9" s="2" t="s">
        <v>25</v>
      </c>
      <c r="L9" s="5" t="s">
        <v>33</v>
      </c>
      <c r="M9" s="5" t="s">
        <v>33</v>
      </c>
      <c r="N9" s="2" t="s">
        <v>25</v>
      </c>
      <c r="O9" s="5" t="s">
        <v>33</v>
      </c>
      <c r="P9" s="2">
        <f>COUNTIF(B9:O9,"✔")</f>
        <v>7</v>
      </c>
      <c r="Q9" s="1">
        <f>P9/14</f>
        <v>0.5</v>
      </c>
      <c r="R9" s="4" t="s">
        <v>26</v>
      </c>
      <c r="S9" t="s">
        <v>59</v>
      </c>
      <c r="T9" s="2" t="s">
        <v>34</v>
      </c>
      <c r="U9" s="2" t="s">
        <v>29</v>
      </c>
      <c r="V9" s="20" t="s">
        <v>60</v>
      </c>
      <c r="W9" s="19" t="s">
        <v>61</v>
      </c>
      <c r="X9" s="19" t="s">
        <v>62</v>
      </c>
      <c r="Y9" t="s">
        <v>892</v>
      </c>
      <c r="AD9" t="s">
        <v>893</v>
      </c>
      <c r="AG9" t="s">
        <v>884</v>
      </c>
      <c r="AM9" t="s">
        <v>881</v>
      </c>
    </row>
    <row r="10" spans="1:40" ht="14.45" customHeight="1">
      <c r="A10" s="10"/>
      <c r="B10" s="5"/>
      <c r="C10" s="5"/>
      <c r="D10" s="2"/>
      <c r="E10" s="2"/>
      <c r="F10" s="5"/>
      <c r="G10" s="2"/>
      <c r="H10" s="5"/>
      <c r="I10" s="2"/>
      <c r="J10" s="2"/>
      <c r="K10" s="2"/>
      <c r="L10" s="5"/>
      <c r="M10" s="5"/>
      <c r="N10" s="2"/>
      <c r="O10" s="2"/>
      <c r="P10" s="2"/>
      <c r="Q10" s="1"/>
      <c r="R10" s="4"/>
      <c r="S10"/>
      <c r="T10" s="2" t="s">
        <v>34</v>
      </c>
      <c r="U10" s="2" t="s">
        <v>29</v>
      </c>
      <c r="V10" s="20" t="s">
        <v>60</v>
      </c>
      <c r="W10" s="19" t="s">
        <v>63</v>
      </c>
      <c r="X10" s="19" t="s">
        <v>62</v>
      </c>
    </row>
    <row r="11" spans="1:40" ht="14.45" customHeight="1">
      <c r="A11" s="10" t="s">
        <v>64</v>
      </c>
      <c r="B11" s="5" t="s">
        <v>33</v>
      </c>
      <c r="C11" s="5" t="s">
        <v>33</v>
      </c>
      <c r="D11" s="2" t="s">
        <v>25</v>
      </c>
      <c r="E11" s="5" t="s">
        <v>33</v>
      </c>
      <c r="F11" s="5" t="s">
        <v>33</v>
      </c>
      <c r="G11" s="5" t="s">
        <v>33</v>
      </c>
      <c r="H11" s="5" t="s">
        <v>33</v>
      </c>
      <c r="I11" s="5" t="s">
        <v>33</v>
      </c>
      <c r="J11" s="5" t="s">
        <v>33</v>
      </c>
      <c r="K11" s="2" t="s">
        <v>25</v>
      </c>
      <c r="L11" s="5" t="s">
        <v>33</v>
      </c>
      <c r="M11" s="2" t="s">
        <v>25</v>
      </c>
      <c r="N11" s="2" t="s">
        <v>25</v>
      </c>
      <c r="O11" s="64" t="s">
        <v>25</v>
      </c>
      <c r="P11" s="2">
        <f>COUNTIF(B11:O11,"✔")</f>
        <v>5</v>
      </c>
      <c r="Q11" s="1">
        <f>P11/14</f>
        <v>0.35714285714285715</v>
      </c>
      <c r="R11" s="4" t="s">
        <v>65</v>
      </c>
      <c r="S11" t="s">
        <v>66</v>
      </c>
      <c r="T11" s="5" t="s">
        <v>33</v>
      </c>
      <c r="U11" s="5" t="s">
        <v>33</v>
      </c>
      <c r="V11" s="19"/>
      <c r="W11" s="19"/>
      <c r="X11" s="19"/>
      <c r="Y11" t="s">
        <v>894</v>
      </c>
      <c r="AA11" t="s">
        <v>895</v>
      </c>
      <c r="AM11" t="s">
        <v>895</v>
      </c>
    </row>
  </sheetData>
  <dataValidations count="7">
    <dataValidation type="list" allowBlank="1" showInputMessage="1" sqref="AA2:AA11" xr:uid="{1C2816B1-5406-4301-8043-64979CFBC8D0}">
      <mc:AlternateContent xmlns:x12ac="http://schemas.microsoft.com/office/spreadsheetml/2011/1/ac" xmlns:mc="http://schemas.openxmlformats.org/markup-compatibility/2006">
        <mc:Choice Requires="x12ac">
          <x12ac:list>"Mandatory,Optional,Out of scope,N/A"</x12ac:list>
        </mc:Choice>
        <mc:Fallback>
          <formula1>"Mandatory,Optional,Out of scope,N/A"</formula1>
        </mc:Fallback>
      </mc:AlternateContent>
    </dataValidation>
    <dataValidation type="list" allowBlank="1" showInputMessage="1" sqref="AD2:AD11" xr:uid="{24FAB9AF-469D-4925-ABD3-2917BCAFF2F4}">
      <mc:AlternateContent xmlns:x12ac="http://schemas.microsoft.com/office/spreadsheetml/2011/1/ac" xmlns:mc="http://schemas.openxmlformats.org/markup-compatibility/2006">
        <mc:Choice Requires="x12ac">
          <x12ac:list>"numeric,categorical,boolean,date,text,document,geometry,time series,reference,composite"</x12ac:list>
        </mc:Choice>
        <mc:Fallback>
          <formula1>"numeric,categorical,boolean,date,text,document,geometry,time series,reference,composite"</formula1>
        </mc:Fallback>
      </mc:AlternateContent>
    </dataValidation>
    <dataValidation type="list" allowBlank="1" showInputMessage="1" sqref="AG2:AG11" xr:uid="{00C96B29-29F4-4CB7-8E29-F45EA7ADCE50}">
      <mc:AlternateContent xmlns:x12ac="http://schemas.microsoft.com/office/spreadsheetml/2011/1/ac" xmlns:mc="http://schemas.openxmlformats.org/markup-compatibility/2006">
        <mc:Choice Requires="x12ac">
          <x12ac:list>"building,unit,zone,component,site / context,any level"</x12ac:list>
        </mc:Choice>
        <mc:Fallback>
          <formula1>"building,unit,zone,component,site / context,any level"</formula1>
        </mc:Fallback>
      </mc:AlternateContent>
    </dataValidation>
    <dataValidation type="list" allowBlank="1" showInputMessage="1" sqref="AH2:AH11" xr:uid="{76484DC6-D7D4-45C1-9FC5-4924CCCF8CF5}">
      <mc:AlternateContent xmlns:x12ac="http://schemas.microsoft.com/office/spreadsheetml/2011/1/ac" xmlns:mc="http://schemas.openxmlformats.org/markup-compatibility/2006">
        <mc:Choice Requires="x12ac">
          <x12ac:list>"static,historical,periodic,real-time"</x12ac:list>
        </mc:Choice>
        <mc:Fallback>
          <formula1>"static,historical,periodic,real-time"</formula1>
        </mc:Fallback>
      </mc:AlternateContent>
    </dataValidation>
    <dataValidation type="list" allowBlank="1" showInputMessage="1" sqref="AI2:AI11" xr:uid="{3E4B2870-81AC-4D38-B8BC-7BA72EE0FBC3}">
      <mc:AlternateContent xmlns:x12ac="http://schemas.microsoft.com/office/spreadsheetml/2011/1/ac" xmlns:mc="http://schemas.openxmlformats.org/markup-compatibility/2006">
        <mc:Choice Requires="x12ac">
          <x12ac:list>"Public,Restricted,Personal data (GDPR),Commercially sensitive"</x12ac:list>
        </mc:Choice>
        <mc:Fallback>
          <formula1>"Public,Restricted,Personal data (GDPR),Commercially sensitive"</formula1>
        </mc:Fallback>
      </mc:AlternateContent>
    </dataValidation>
    <dataValidation type="list" allowBlank="1" showInputMessage="1" sqref="AL2:AL11" xr:uid="{25AC002B-7A6A-4AD7-A166-7A04DC8C7728}">
      <mc:AlternateContent xmlns:x12ac="http://schemas.microsoft.com/office/spreadsheetml/2011/1/ac" xmlns:mc="http://schemas.openxmlformats.org/markup-compatibility/2006">
        <mc:Choice Requires="x12ac">
          <x12ac:list>"open data,API,manual input,inspection,derived"</x12ac:list>
        </mc:Choice>
        <mc:Fallback>
          <formula1>"open data,API,manual input,inspection,derived"</formula1>
        </mc:Fallback>
      </mc:AlternateContent>
    </dataValidation>
    <dataValidation type="list" allowBlank="1" showInputMessage="1" sqref="AM2:AM11" xr:uid="{1675B313-DAD9-4E21-A44E-0B53912C151E}">
      <mc:AlternateContent xmlns:x12ac="http://schemas.microsoft.com/office/spreadsheetml/2011/1/ac" xmlns:mc="http://schemas.openxmlformats.org/markup-compatibility/2006">
        <mc:Choice Requires="x12ac">
          <x12ac:list>"Native,Workaround,Extension needed,Out of scope,N/A"</x12ac:list>
        </mc:Choice>
        <mc:Fallback>
          <formula1>"Native,Workaround,Extension needed,Out of scope,N/A"</formula1>
        </mc:Fallback>
      </mc:AlternateContent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33"/>
  <sheetViews>
    <sheetView zoomScale="115" zoomScaleNormal="115" workbookViewId="0">
      <pane xSplit="1" ySplit="1" topLeftCell="Q11" activePane="bottomRight" state="frozen"/>
      <selection pane="topRight" activeCell="B1" sqref="B1"/>
      <selection pane="bottomLeft" activeCell="A2" sqref="A2"/>
      <selection pane="bottomRight" activeCell="Q35" sqref="Q35"/>
    </sheetView>
  </sheetViews>
  <sheetFormatPr defaultColWidth="9.28515625" defaultRowHeight="15" customHeight="1"/>
  <cols>
    <col min="1" max="1" width="50.7109375" style="24" customWidth="1"/>
    <col min="2" max="17" width="13.7109375" style="24" customWidth="1"/>
    <col min="18" max="18" width="13.7109375" style="25" customWidth="1"/>
    <col min="19" max="19" width="20.7109375" style="25" customWidth="1"/>
    <col min="20" max="22" width="20.7109375" style="24" customWidth="1"/>
    <col min="23" max="24" width="6.7109375" style="24" customWidth="1"/>
    <col min="25" max="40" width="16.7109375" style="24" customWidth="1"/>
    <col min="41" max="16384" width="9.28515625" style="24"/>
  </cols>
  <sheetData>
    <row r="1" spans="1:40" ht="75" customHeight="1">
      <c r="A1" s="4" t="s">
        <v>67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67" t="s">
        <v>17</v>
      </c>
      <c r="S1" s="67" t="s">
        <v>18</v>
      </c>
      <c r="T1" s="12" t="s">
        <v>19</v>
      </c>
      <c r="U1" s="12" t="s">
        <v>20</v>
      </c>
      <c r="V1" s="3" t="s">
        <v>21</v>
      </c>
      <c r="W1" s="3" t="s">
        <v>22</v>
      </c>
      <c r="X1" s="3" t="s">
        <v>23</v>
      </c>
      <c r="Y1" s="3" t="s">
        <v>862</v>
      </c>
      <c r="Z1" s="3" t="s">
        <v>863</v>
      </c>
      <c r="AA1" s="3" t="s">
        <v>864</v>
      </c>
      <c r="AB1" s="3" t="s">
        <v>865</v>
      </c>
      <c r="AC1" s="3" t="s">
        <v>866</v>
      </c>
      <c r="AD1" s="3" t="s">
        <v>867</v>
      </c>
      <c r="AE1" s="3" t="s">
        <v>868</v>
      </c>
      <c r="AF1" s="3" t="s">
        <v>869</v>
      </c>
      <c r="AG1" s="3" t="s">
        <v>870</v>
      </c>
      <c r="AH1" s="3" t="s">
        <v>871</v>
      </c>
      <c r="AI1" s="3" t="s">
        <v>872</v>
      </c>
      <c r="AJ1" s="3" t="s">
        <v>873</v>
      </c>
      <c r="AK1" s="3" t="s">
        <v>874</v>
      </c>
      <c r="AL1" s="3" t="s">
        <v>875</v>
      </c>
      <c r="AM1" s="3" t="s">
        <v>876</v>
      </c>
      <c r="AN1" s="3" t="s">
        <v>877</v>
      </c>
    </row>
    <row r="2" spans="1:40" ht="14.85" customHeight="1">
      <c r="A2" t="s">
        <v>68</v>
      </c>
      <c r="B2" s="2" t="s">
        <v>25</v>
      </c>
      <c r="C2" s="2" t="s">
        <v>25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64" t="s">
        <v>25</v>
      </c>
      <c r="P2" s="2">
        <f>COUNTIF(B2:O2,"✔")</f>
        <v>14</v>
      </c>
      <c r="Q2" s="1">
        <f>P2/14</f>
        <v>1</v>
      </c>
      <c r="R2" s="4" t="s">
        <v>26</v>
      </c>
      <c r="S2" t="s">
        <v>69</v>
      </c>
      <c r="T2" s="2" t="s">
        <v>28</v>
      </c>
      <c r="U2" s="2" t="s">
        <v>40</v>
      </c>
      <c r="V2" s="19" t="s">
        <v>41</v>
      </c>
      <c r="W2" s="26" t="s">
        <v>70</v>
      </c>
      <c r="X2" s="26" t="s">
        <v>71</v>
      </c>
      <c r="Y2" s="24" t="s">
        <v>896</v>
      </c>
      <c r="AD2" s="24" t="s">
        <v>893</v>
      </c>
      <c r="AG2" s="24" t="s">
        <v>880</v>
      </c>
      <c r="AM2" s="24" t="s">
        <v>881</v>
      </c>
    </row>
    <row r="3" spans="1:40" ht="14.85" customHeight="1">
      <c r="A3" t="s">
        <v>72</v>
      </c>
      <c r="B3" s="5" t="s">
        <v>33</v>
      </c>
      <c r="C3" s="5" t="s">
        <v>33</v>
      </c>
      <c r="D3" s="5" t="s">
        <v>33</v>
      </c>
      <c r="E3" s="5" t="s">
        <v>33</v>
      </c>
      <c r="F3" s="5" t="s">
        <v>33</v>
      </c>
      <c r="G3" s="5" t="s">
        <v>33</v>
      </c>
      <c r="H3" s="2" t="s">
        <v>25</v>
      </c>
      <c r="I3" s="5" t="s">
        <v>33</v>
      </c>
      <c r="J3" s="5" t="s">
        <v>33</v>
      </c>
      <c r="K3" s="5" t="s">
        <v>33</v>
      </c>
      <c r="L3" s="5" t="s">
        <v>33</v>
      </c>
      <c r="M3" s="5" t="s">
        <v>33</v>
      </c>
      <c r="N3" s="5" t="s">
        <v>33</v>
      </c>
      <c r="O3" s="5" t="s">
        <v>33</v>
      </c>
      <c r="P3" s="2">
        <f>COUNTIF(B3:O3,"✔")</f>
        <v>1</v>
      </c>
      <c r="Q3" s="1">
        <f>P3/14</f>
        <v>7.1428571428571425E-2</v>
      </c>
      <c r="R3" s="4" t="s">
        <v>65</v>
      </c>
      <c r="S3" t="s">
        <v>73</v>
      </c>
      <c r="T3" s="2" t="s">
        <v>28</v>
      </c>
      <c r="U3" s="2" t="s">
        <v>40</v>
      </c>
      <c r="V3" s="19" t="s">
        <v>41</v>
      </c>
      <c r="W3" s="26" t="s">
        <v>74</v>
      </c>
      <c r="X3" s="26" t="s">
        <v>71</v>
      </c>
      <c r="Y3" s="24" t="s">
        <v>897</v>
      </c>
      <c r="AA3" s="24" t="s">
        <v>895</v>
      </c>
      <c r="AD3" s="24" t="s">
        <v>893</v>
      </c>
      <c r="AG3" s="24" t="s">
        <v>880</v>
      </c>
      <c r="AM3" s="24" t="s">
        <v>881</v>
      </c>
    </row>
    <row r="4" spans="1:40" ht="14.85" customHeight="1">
      <c r="A4" t="s">
        <v>75</v>
      </c>
      <c r="B4" s="2" t="s">
        <v>25</v>
      </c>
      <c r="C4" s="2" t="s">
        <v>25</v>
      </c>
      <c r="D4" s="2" t="s">
        <v>25</v>
      </c>
      <c r="E4" s="2" t="s">
        <v>25</v>
      </c>
      <c r="F4" s="5" t="s">
        <v>33</v>
      </c>
      <c r="G4" s="2" t="s">
        <v>25</v>
      </c>
      <c r="H4" s="2" t="s">
        <v>25</v>
      </c>
      <c r="I4" s="2" t="s">
        <v>25</v>
      </c>
      <c r="J4" s="2" t="s">
        <v>25</v>
      </c>
      <c r="K4" s="2" t="s">
        <v>25</v>
      </c>
      <c r="L4" s="5" t="s">
        <v>33</v>
      </c>
      <c r="M4" s="2" t="s">
        <v>25</v>
      </c>
      <c r="N4" s="2" t="s">
        <v>25</v>
      </c>
      <c r="O4" s="64" t="s">
        <v>25</v>
      </c>
      <c r="P4" s="2">
        <f>COUNTIF(B4:O4,"✔")</f>
        <v>12</v>
      </c>
      <c r="Q4" s="1">
        <f>P4/14</f>
        <v>0.8571428571428571</v>
      </c>
      <c r="R4" s="4" t="s">
        <v>26</v>
      </c>
      <c r="S4" t="s">
        <v>76</v>
      </c>
      <c r="T4" s="2" t="s">
        <v>28</v>
      </c>
      <c r="U4" s="2" t="s">
        <v>40</v>
      </c>
      <c r="V4" s="19" t="s">
        <v>41</v>
      </c>
      <c r="W4" s="26" t="s">
        <v>77</v>
      </c>
      <c r="X4" s="26" t="s">
        <v>78</v>
      </c>
      <c r="Y4" s="24" t="s">
        <v>898</v>
      </c>
      <c r="AD4" s="24" t="s">
        <v>899</v>
      </c>
      <c r="AG4" s="24" t="s">
        <v>880</v>
      </c>
      <c r="AM4" s="24" t="s">
        <v>881</v>
      </c>
    </row>
    <row r="5" spans="1:40" ht="14.85" customHeight="1">
      <c r="B5" s="2"/>
      <c r="C5" s="2"/>
      <c r="D5" s="2"/>
      <c r="E5" s="2"/>
      <c r="F5" s="5"/>
      <c r="G5" s="2"/>
      <c r="H5" s="2"/>
      <c r="I5" s="2"/>
      <c r="J5" s="2"/>
      <c r="K5" s="2"/>
      <c r="L5" s="5"/>
      <c r="M5" s="5"/>
      <c r="N5" s="2"/>
      <c r="O5" s="2"/>
      <c r="P5" s="2"/>
      <c r="Q5" s="1"/>
      <c r="R5" s="4"/>
      <c r="S5"/>
      <c r="T5" s="2" t="s">
        <v>28</v>
      </c>
      <c r="U5" s="2" t="s">
        <v>40</v>
      </c>
      <c r="V5" s="19" t="s">
        <v>41</v>
      </c>
      <c r="W5" s="26" t="s">
        <v>79</v>
      </c>
      <c r="X5" s="26" t="s">
        <v>78</v>
      </c>
    </row>
    <row r="6" spans="1:40" ht="14.85" customHeight="1">
      <c r="A6" t="s">
        <v>80</v>
      </c>
      <c r="B6" s="2" t="s">
        <v>25</v>
      </c>
      <c r="C6" s="2" t="s">
        <v>25</v>
      </c>
      <c r="D6" s="2" t="s">
        <v>25</v>
      </c>
      <c r="E6" s="2" t="s">
        <v>25</v>
      </c>
      <c r="F6" s="2" t="s">
        <v>25</v>
      </c>
      <c r="G6" s="5" t="s">
        <v>33</v>
      </c>
      <c r="H6" s="2" t="s">
        <v>25</v>
      </c>
      <c r="I6" s="5" t="s">
        <v>33</v>
      </c>
      <c r="J6" s="2" t="s">
        <v>25</v>
      </c>
      <c r="K6" s="2" t="s">
        <v>25</v>
      </c>
      <c r="L6" s="5" t="s">
        <v>33</v>
      </c>
      <c r="M6" s="5" t="s">
        <v>33</v>
      </c>
      <c r="N6" s="2" t="s">
        <v>25</v>
      </c>
      <c r="O6" s="5" t="s">
        <v>33</v>
      </c>
      <c r="P6" s="2">
        <f>COUNTIF(B6:O6,"✔")</f>
        <v>9</v>
      </c>
      <c r="Q6" s="1">
        <f>P6/14</f>
        <v>0.6428571428571429</v>
      </c>
      <c r="R6" s="4" t="s">
        <v>26</v>
      </c>
      <c r="S6" t="s">
        <v>81</v>
      </c>
      <c r="T6" s="2" t="s">
        <v>34</v>
      </c>
      <c r="U6" s="2" t="s">
        <v>29</v>
      </c>
      <c r="V6" t="s">
        <v>82</v>
      </c>
      <c r="W6" t="s">
        <v>83</v>
      </c>
      <c r="X6" s="26" t="s">
        <v>62</v>
      </c>
      <c r="Y6" s="24" t="s">
        <v>900</v>
      </c>
      <c r="AD6" s="24" t="s">
        <v>893</v>
      </c>
      <c r="AG6" s="24" t="s">
        <v>884</v>
      </c>
      <c r="AH6" s="24" t="s">
        <v>901</v>
      </c>
      <c r="AM6" s="24" t="s">
        <v>881</v>
      </c>
    </row>
    <row r="7" spans="1:40" ht="14.85" customHeight="1">
      <c r="B7" s="2"/>
      <c r="C7" s="2"/>
      <c r="D7" s="2"/>
      <c r="E7" s="2"/>
      <c r="F7" s="2"/>
      <c r="G7" s="5"/>
      <c r="H7" s="2"/>
      <c r="I7" s="5"/>
      <c r="J7" s="2"/>
      <c r="K7" s="2"/>
      <c r="L7" s="5"/>
      <c r="M7" s="5"/>
      <c r="N7" s="2"/>
      <c r="O7" s="2"/>
      <c r="P7" s="2"/>
      <c r="Q7" s="1"/>
      <c r="R7" s="4"/>
      <c r="S7"/>
      <c r="T7" s="2" t="s">
        <v>34</v>
      </c>
      <c r="U7" s="2" t="s">
        <v>29</v>
      </c>
      <c r="V7" t="s">
        <v>82</v>
      </c>
      <c r="W7" t="s">
        <v>84</v>
      </c>
      <c r="X7" s="26" t="s">
        <v>62</v>
      </c>
    </row>
    <row r="8" spans="1:40" ht="14.85" customHeight="1">
      <c r="B8" s="2"/>
      <c r="C8" s="2"/>
      <c r="D8" s="2"/>
      <c r="E8" s="2"/>
      <c r="F8" s="2"/>
      <c r="G8" s="5"/>
      <c r="H8" s="2"/>
      <c r="I8" s="5"/>
      <c r="J8" s="2"/>
      <c r="K8" s="2"/>
      <c r="L8" s="5"/>
      <c r="M8" s="5"/>
      <c r="N8" s="2"/>
      <c r="O8" s="2"/>
      <c r="P8" s="2"/>
      <c r="Q8" s="1"/>
      <c r="R8" s="4"/>
      <c r="S8"/>
      <c r="T8" s="2" t="s">
        <v>34</v>
      </c>
      <c r="U8" s="2" t="s">
        <v>29</v>
      </c>
      <c r="V8" s="19" t="s">
        <v>82</v>
      </c>
      <c r="W8" s="26" t="s">
        <v>85</v>
      </c>
      <c r="X8" s="26" t="s">
        <v>86</v>
      </c>
    </row>
    <row r="9" spans="1:40" ht="14.85" customHeight="1">
      <c r="B9" s="2"/>
      <c r="C9" s="2"/>
      <c r="D9" s="2"/>
      <c r="E9" s="2"/>
      <c r="F9" s="2"/>
      <c r="G9" s="5"/>
      <c r="H9" s="2"/>
      <c r="I9" s="5"/>
      <c r="J9" s="2"/>
      <c r="K9" s="2"/>
      <c r="L9" s="5"/>
      <c r="M9" s="5"/>
      <c r="N9" s="2"/>
      <c r="O9" s="2"/>
      <c r="P9" s="2"/>
      <c r="Q9" s="1"/>
      <c r="R9" s="4"/>
      <c r="S9"/>
      <c r="T9" s="2" t="s">
        <v>34</v>
      </c>
      <c r="U9" s="2" t="s">
        <v>29</v>
      </c>
      <c r="V9" s="19" t="s">
        <v>82</v>
      </c>
      <c r="W9" s="26" t="s">
        <v>87</v>
      </c>
      <c r="X9" s="26" t="s">
        <v>88</v>
      </c>
    </row>
    <row r="10" spans="1:40" ht="14.85" customHeight="1">
      <c r="A10" t="s">
        <v>89</v>
      </c>
      <c r="B10" s="2" t="s">
        <v>25</v>
      </c>
      <c r="C10" s="2" t="s">
        <v>25</v>
      </c>
      <c r="D10" s="2" t="s">
        <v>25</v>
      </c>
      <c r="E10" s="2" t="s">
        <v>25</v>
      </c>
      <c r="F10" s="2" t="s">
        <v>25</v>
      </c>
      <c r="G10" s="2" t="s">
        <v>25</v>
      </c>
      <c r="H10" s="2" t="s">
        <v>25</v>
      </c>
      <c r="I10" s="2" t="s">
        <v>25</v>
      </c>
      <c r="J10" s="5" t="s">
        <v>33</v>
      </c>
      <c r="K10" s="2" t="s">
        <v>25</v>
      </c>
      <c r="L10" s="2" t="s">
        <v>25</v>
      </c>
      <c r="M10" s="5" t="s">
        <v>33</v>
      </c>
      <c r="N10" s="5" t="s">
        <v>33</v>
      </c>
      <c r="O10" s="64" t="s">
        <v>25</v>
      </c>
      <c r="P10" s="2">
        <f>COUNTIF(B10:O10,"✔")</f>
        <v>11</v>
      </c>
      <c r="Q10" s="1">
        <f>P10/14</f>
        <v>0.7857142857142857</v>
      </c>
      <c r="R10" s="4" t="s">
        <v>26</v>
      </c>
      <c r="S10" t="s">
        <v>90</v>
      </c>
      <c r="T10" s="2" t="s">
        <v>28</v>
      </c>
      <c r="U10" s="2" t="s">
        <v>40</v>
      </c>
      <c r="V10" s="19" t="s">
        <v>41</v>
      </c>
      <c r="W10" s="21" t="s">
        <v>91</v>
      </c>
      <c r="X10" s="26" t="s">
        <v>92</v>
      </c>
      <c r="Y10" s="24" t="s">
        <v>902</v>
      </c>
      <c r="AD10" s="24" t="s">
        <v>883</v>
      </c>
      <c r="AG10" s="24" t="s">
        <v>880</v>
      </c>
      <c r="AM10" s="24" t="s">
        <v>881</v>
      </c>
    </row>
    <row r="11" spans="1:40" ht="14.85" customHeight="1">
      <c r="B11" s="2"/>
      <c r="C11" s="2"/>
      <c r="D11" s="2"/>
      <c r="E11" s="2"/>
      <c r="F11" s="2"/>
      <c r="G11" s="2"/>
      <c r="H11" s="2"/>
      <c r="I11" s="2"/>
      <c r="J11" s="5"/>
      <c r="K11" s="2"/>
      <c r="L11" s="2"/>
      <c r="M11" s="5"/>
      <c r="N11" s="5"/>
      <c r="O11" s="5"/>
      <c r="P11" s="2"/>
      <c r="Q11" s="1"/>
      <c r="R11" s="4"/>
      <c r="S11"/>
      <c r="T11" s="2" t="s">
        <v>28</v>
      </c>
      <c r="U11" s="2" t="s">
        <v>40</v>
      </c>
      <c r="V11" s="19" t="s">
        <v>41</v>
      </c>
      <c r="W11" s="21" t="s">
        <v>93</v>
      </c>
      <c r="X11" s="26" t="s">
        <v>94</v>
      </c>
    </row>
    <row r="12" spans="1:40" ht="14.85" customHeight="1">
      <c r="A12" t="s">
        <v>95</v>
      </c>
      <c r="B12" s="2" t="s">
        <v>25</v>
      </c>
      <c r="C12" s="2" t="s">
        <v>25</v>
      </c>
      <c r="D12" s="2" t="s">
        <v>25</v>
      </c>
      <c r="E12" s="2" t="s">
        <v>25</v>
      </c>
      <c r="F12" s="2" t="s">
        <v>25</v>
      </c>
      <c r="G12" s="5" t="s">
        <v>33</v>
      </c>
      <c r="H12" s="2" t="s">
        <v>25</v>
      </c>
      <c r="I12" s="5" t="s">
        <v>33</v>
      </c>
      <c r="J12" s="2" t="s">
        <v>25</v>
      </c>
      <c r="K12" s="2" t="s">
        <v>25</v>
      </c>
      <c r="L12" s="2" t="s">
        <v>25</v>
      </c>
      <c r="M12" s="2" t="s">
        <v>25</v>
      </c>
      <c r="N12" s="2" t="s">
        <v>25</v>
      </c>
      <c r="O12" s="64" t="s">
        <v>25</v>
      </c>
      <c r="P12" s="2">
        <f t="shared" ref="P12:P22" si="0">COUNTIF(B12:O12,"✔")</f>
        <v>12</v>
      </c>
      <c r="Q12" s="1">
        <f t="shared" ref="Q12:Q22" si="1">P12/14</f>
        <v>0.8571428571428571</v>
      </c>
      <c r="R12" s="4" t="s">
        <v>26</v>
      </c>
      <c r="S12" t="s">
        <v>96</v>
      </c>
      <c r="T12" s="2" t="s">
        <v>34</v>
      </c>
      <c r="U12" s="2" t="s">
        <v>40</v>
      </c>
      <c r="V12" s="19" t="s">
        <v>41</v>
      </c>
      <c r="W12" s="21" t="s">
        <v>97</v>
      </c>
      <c r="X12" s="19" t="s">
        <v>98</v>
      </c>
      <c r="Y12" s="24" t="s">
        <v>903</v>
      </c>
      <c r="AD12" s="24" t="s">
        <v>883</v>
      </c>
      <c r="AG12" s="24" t="s">
        <v>880</v>
      </c>
      <c r="AM12" s="24" t="s">
        <v>881</v>
      </c>
    </row>
    <row r="13" spans="1:40" ht="14.85" customHeight="1">
      <c r="A13" t="s">
        <v>99</v>
      </c>
      <c r="B13" s="2" t="s">
        <v>25</v>
      </c>
      <c r="C13" s="2" t="s">
        <v>25</v>
      </c>
      <c r="D13" s="5" t="s">
        <v>33</v>
      </c>
      <c r="E13" s="2" t="s">
        <v>25</v>
      </c>
      <c r="F13" s="2" t="s">
        <v>25</v>
      </c>
      <c r="G13" s="5" t="s">
        <v>33</v>
      </c>
      <c r="H13" s="2" t="s">
        <v>25</v>
      </c>
      <c r="I13" s="5" t="s">
        <v>33</v>
      </c>
      <c r="J13" s="2" t="s">
        <v>25</v>
      </c>
      <c r="K13" s="2" t="s">
        <v>25</v>
      </c>
      <c r="L13" s="2" t="s">
        <v>25</v>
      </c>
      <c r="M13" s="2" t="s">
        <v>25</v>
      </c>
      <c r="N13" s="2" t="s">
        <v>25</v>
      </c>
      <c r="O13" s="5" t="s">
        <v>33</v>
      </c>
      <c r="P13" s="2">
        <f t="shared" si="0"/>
        <v>10</v>
      </c>
      <c r="Q13" s="1">
        <f t="shared" si="1"/>
        <v>0.7142857142857143</v>
      </c>
      <c r="R13" s="4" t="s">
        <v>26</v>
      </c>
      <c r="S13" t="s">
        <v>100</v>
      </c>
      <c r="T13" s="2" t="s">
        <v>28</v>
      </c>
      <c r="U13" s="2" t="s">
        <v>29</v>
      </c>
      <c r="V13" s="26" t="s">
        <v>101</v>
      </c>
      <c r="W13" s="19" t="s">
        <v>102</v>
      </c>
      <c r="X13" s="26" t="s">
        <v>103</v>
      </c>
      <c r="Y13" s="24" t="s">
        <v>904</v>
      </c>
      <c r="AD13" s="24" t="s">
        <v>883</v>
      </c>
      <c r="AG13" s="24" t="s">
        <v>880</v>
      </c>
      <c r="AM13" s="24" t="s">
        <v>881</v>
      </c>
    </row>
    <row r="14" spans="1:40" ht="14.85" customHeight="1">
      <c r="A14" t="s">
        <v>104</v>
      </c>
      <c r="B14" s="5" t="s">
        <v>33</v>
      </c>
      <c r="C14" s="5" t="s">
        <v>33</v>
      </c>
      <c r="D14" s="5" t="s">
        <v>33</v>
      </c>
      <c r="E14" s="2" t="s">
        <v>25</v>
      </c>
      <c r="F14" s="5" t="s">
        <v>33</v>
      </c>
      <c r="G14" s="5" t="s">
        <v>33</v>
      </c>
      <c r="H14" s="2" t="s">
        <v>25</v>
      </c>
      <c r="I14" s="5" t="s">
        <v>33</v>
      </c>
      <c r="J14" s="2" t="s">
        <v>25</v>
      </c>
      <c r="K14" s="2" t="s">
        <v>25</v>
      </c>
      <c r="L14" s="5" t="s">
        <v>33</v>
      </c>
      <c r="M14" s="5" t="s">
        <v>33</v>
      </c>
      <c r="N14" s="2" t="s">
        <v>25</v>
      </c>
      <c r="O14" s="5" t="s">
        <v>33</v>
      </c>
      <c r="P14" s="2">
        <f t="shared" si="0"/>
        <v>5</v>
      </c>
      <c r="Q14" s="1">
        <f t="shared" si="1"/>
        <v>0.35714285714285715</v>
      </c>
      <c r="R14" s="4" t="s">
        <v>26</v>
      </c>
      <c r="S14" t="s">
        <v>105</v>
      </c>
      <c r="T14" s="2" t="s">
        <v>34</v>
      </c>
      <c r="U14" s="2" t="s">
        <v>40</v>
      </c>
      <c r="V14" s="19" t="s">
        <v>41</v>
      </c>
      <c r="W14" s="26" t="s">
        <v>106</v>
      </c>
      <c r="X14" s="26" t="s">
        <v>107</v>
      </c>
      <c r="Y14" s="24" t="s">
        <v>905</v>
      </c>
      <c r="AD14" s="24" t="s">
        <v>899</v>
      </c>
      <c r="AG14" s="24" t="s">
        <v>880</v>
      </c>
      <c r="AM14" s="24" t="s">
        <v>881</v>
      </c>
    </row>
    <row r="15" spans="1:40" ht="14.85" customHeight="1">
      <c r="A15" t="s">
        <v>108</v>
      </c>
      <c r="B15" s="5" t="s">
        <v>33</v>
      </c>
      <c r="C15" s="5" t="s">
        <v>33</v>
      </c>
      <c r="D15" s="2" t="s">
        <v>25</v>
      </c>
      <c r="E15" s="2" t="s">
        <v>25</v>
      </c>
      <c r="F15" s="2" t="s">
        <v>25</v>
      </c>
      <c r="G15" s="5" t="s">
        <v>33</v>
      </c>
      <c r="H15" s="2" t="s">
        <v>25</v>
      </c>
      <c r="I15" s="5" t="s">
        <v>33</v>
      </c>
      <c r="J15" s="5" t="s">
        <v>33</v>
      </c>
      <c r="K15" s="5" t="s">
        <v>33</v>
      </c>
      <c r="L15" s="2" t="s">
        <v>25</v>
      </c>
      <c r="M15" s="5" t="s">
        <v>33</v>
      </c>
      <c r="N15" s="5" t="s">
        <v>33</v>
      </c>
      <c r="O15" s="5" t="s">
        <v>33</v>
      </c>
      <c r="P15" s="2">
        <f t="shared" si="0"/>
        <v>5</v>
      </c>
      <c r="Q15" s="1">
        <f t="shared" si="1"/>
        <v>0.35714285714285715</v>
      </c>
      <c r="R15" s="4" t="s">
        <v>26</v>
      </c>
      <c r="S15" t="s">
        <v>109</v>
      </c>
      <c r="T15" s="2" t="s">
        <v>34</v>
      </c>
      <c r="U15" s="2" t="s">
        <v>40</v>
      </c>
      <c r="V15" s="19" t="s">
        <v>41</v>
      </c>
      <c r="W15" s="26" t="s">
        <v>106</v>
      </c>
      <c r="X15" s="26" t="s">
        <v>107</v>
      </c>
      <c r="Y15" s="24" t="s">
        <v>906</v>
      </c>
      <c r="AD15" s="24" t="s">
        <v>899</v>
      </c>
      <c r="AG15" s="24" t="s">
        <v>880</v>
      </c>
      <c r="AM15" s="24" t="s">
        <v>881</v>
      </c>
    </row>
    <row r="16" spans="1:40" ht="14.85" customHeight="1">
      <c r="A16" t="s">
        <v>110</v>
      </c>
      <c r="B16" s="2" t="s">
        <v>25</v>
      </c>
      <c r="C16" s="5" t="s">
        <v>33</v>
      </c>
      <c r="D16" s="5" t="s">
        <v>33</v>
      </c>
      <c r="E16" s="5" t="s">
        <v>33</v>
      </c>
      <c r="F16" s="5" t="s">
        <v>33</v>
      </c>
      <c r="G16" s="5" t="s">
        <v>33</v>
      </c>
      <c r="H16" s="2" t="s">
        <v>25</v>
      </c>
      <c r="I16" s="2" t="s">
        <v>25</v>
      </c>
      <c r="J16" s="5" t="s">
        <v>33</v>
      </c>
      <c r="K16" s="2" t="s">
        <v>25</v>
      </c>
      <c r="L16" s="5" t="s">
        <v>33</v>
      </c>
      <c r="M16" s="2" t="s">
        <v>25</v>
      </c>
      <c r="N16" s="5" t="s">
        <v>33</v>
      </c>
      <c r="O16" s="64" t="s">
        <v>25</v>
      </c>
      <c r="P16" s="2">
        <f t="shared" si="0"/>
        <v>6</v>
      </c>
      <c r="Q16" s="1">
        <f t="shared" si="1"/>
        <v>0.42857142857142855</v>
      </c>
      <c r="R16" s="4" t="s">
        <v>26</v>
      </c>
      <c r="S16" t="s">
        <v>111</v>
      </c>
      <c r="T16" s="2" t="s">
        <v>28</v>
      </c>
      <c r="U16" s="2" t="s">
        <v>40</v>
      </c>
      <c r="V16" s="19" t="s">
        <v>41</v>
      </c>
      <c r="W16" s="26" t="s">
        <v>112</v>
      </c>
      <c r="X16" s="26" t="s">
        <v>113</v>
      </c>
      <c r="Y16" s="24" t="s">
        <v>907</v>
      </c>
      <c r="AD16" s="24" t="s">
        <v>883</v>
      </c>
      <c r="AG16" s="24" t="s">
        <v>880</v>
      </c>
      <c r="AM16" s="24" t="s">
        <v>881</v>
      </c>
    </row>
    <row r="17" spans="1:40" ht="14.85" customHeight="1">
      <c r="A17" t="s">
        <v>114</v>
      </c>
      <c r="B17" s="5" t="s">
        <v>33</v>
      </c>
      <c r="C17" s="2" t="s">
        <v>25</v>
      </c>
      <c r="D17" s="5" t="s">
        <v>33</v>
      </c>
      <c r="E17" s="2" t="s">
        <v>25</v>
      </c>
      <c r="F17" s="5" t="s">
        <v>33</v>
      </c>
      <c r="G17" s="5" t="s">
        <v>33</v>
      </c>
      <c r="H17" s="2" t="s">
        <v>25</v>
      </c>
      <c r="I17" s="5" t="s">
        <v>33</v>
      </c>
      <c r="J17" s="5" t="s">
        <v>33</v>
      </c>
      <c r="K17" s="2" t="s">
        <v>25</v>
      </c>
      <c r="L17" s="5" t="s">
        <v>33</v>
      </c>
      <c r="M17" s="5" t="s">
        <v>33</v>
      </c>
      <c r="N17" s="5" t="s">
        <v>33</v>
      </c>
      <c r="O17" s="5" t="s">
        <v>33</v>
      </c>
      <c r="P17" s="2">
        <f t="shared" si="0"/>
        <v>4</v>
      </c>
      <c r="Q17" s="1">
        <f t="shared" si="1"/>
        <v>0.2857142857142857</v>
      </c>
      <c r="R17" s="4" t="s">
        <v>26</v>
      </c>
      <c r="S17" t="s">
        <v>115</v>
      </c>
      <c r="T17" s="2" t="s">
        <v>34</v>
      </c>
      <c r="U17" s="2" t="s">
        <v>40</v>
      </c>
      <c r="V17" s="19" t="s">
        <v>56</v>
      </c>
      <c r="W17" s="26" t="s">
        <v>116</v>
      </c>
      <c r="X17" s="26" t="s">
        <v>107</v>
      </c>
      <c r="Y17" s="24" t="s">
        <v>908</v>
      </c>
      <c r="AD17" s="24" t="s">
        <v>899</v>
      </c>
      <c r="AG17" s="24" t="s">
        <v>890</v>
      </c>
      <c r="AM17" s="24" t="s">
        <v>881</v>
      </c>
    </row>
    <row r="18" spans="1:40" ht="14.85" customHeight="1">
      <c r="A18" t="s">
        <v>117</v>
      </c>
      <c r="B18" s="5" t="s">
        <v>33</v>
      </c>
      <c r="C18" s="5" t="s">
        <v>33</v>
      </c>
      <c r="D18" s="5" t="s">
        <v>33</v>
      </c>
      <c r="E18" s="2" t="s">
        <v>25</v>
      </c>
      <c r="F18" s="5" t="s">
        <v>33</v>
      </c>
      <c r="G18" s="2" t="s">
        <v>25</v>
      </c>
      <c r="H18" s="5" t="s">
        <v>33</v>
      </c>
      <c r="I18" s="5" t="s">
        <v>33</v>
      </c>
      <c r="J18" s="2" t="s">
        <v>25</v>
      </c>
      <c r="K18" s="2" t="s">
        <v>25</v>
      </c>
      <c r="L18" s="5" t="s">
        <v>33</v>
      </c>
      <c r="M18" s="5" t="s">
        <v>33</v>
      </c>
      <c r="N18" s="5" t="s">
        <v>33</v>
      </c>
      <c r="O18" s="5" t="s">
        <v>33</v>
      </c>
      <c r="P18" s="2">
        <f t="shared" si="0"/>
        <v>4</v>
      </c>
      <c r="Q18" s="1">
        <f t="shared" si="1"/>
        <v>0.2857142857142857</v>
      </c>
      <c r="R18" s="4" t="s">
        <v>26</v>
      </c>
      <c r="S18" t="s">
        <v>118</v>
      </c>
      <c r="T18" s="2" t="s">
        <v>34</v>
      </c>
      <c r="U18" s="2" t="s">
        <v>40</v>
      </c>
      <c r="V18" s="26" t="s">
        <v>119</v>
      </c>
      <c r="W18" s="26" t="s">
        <v>120</v>
      </c>
      <c r="X18" s="26" t="s">
        <v>121</v>
      </c>
      <c r="Y18" s="24" t="s">
        <v>909</v>
      </c>
      <c r="AD18" s="24" t="s">
        <v>899</v>
      </c>
      <c r="AG18" s="24" t="s">
        <v>910</v>
      </c>
      <c r="AM18" s="24" t="s">
        <v>881</v>
      </c>
    </row>
    <row r="19" spans="1:40" ht="14.85" customHeight="1">
      <c r="A19" t="s">
        <v>122</v>
      </c>
      <c r="B19" s="2" t="s">
        <v>25</v>
      </c>
      <c r="C19" s="5" t="s">
        <v>33</v>
      </c>
      <c r="D19" s="2" t="s">
        <v>25</v>
      </c>
      <c r="E19" s="5" t="s">
        <v>33</v>
      </c>
      <c r="F19" s="5" t="s">
        <v>33</v>
      </c>
      <c r="G19" s="2" t="s">
        <v>25</v>
      </c>
      <c r="H19" s="5" t="s">
        <v>33</v>
      </c>
      <c r="I19" s="5" t="s">
        <v>33</v>
      </c>
      <c r="J19" s="5" t="s">
        <v>33</v>
      </c>
      <c r="K19" s="5" t="s">
        <v>33</v>
      </c>
      <c r="L19" s="5" t="s">
        <v>33</v>
      </c>
      <c r="M19" s="5" t="s">
        <v>33</v>
      </c>
      <c r="N19" s="5" t="s">
        <v>33</v>
      </c>
      <c r="O19" s="5" t="s">
        <v>33</v>
      </c>
      <c r="P19" s="2">
        <f t="shared" si="0"/>
        <v>3</v>
      </c>
      <c r="Q19" s="1">
        <f t="shared" si="1"/>
        <v>0.21428571428571427</v>
      </c>
      <c r="R19" s="4" t="s">
        <v>65</v>
      </c>
      <c r="S19" t="s">
        <v>123</v>
      </c>
      <c r="T19" s="2" t="s">
        <v>28</v>
      </c>
      <c r="U19" s="2" t="s">
        <v>40</v>
      </c>
      <c r="V19" s="19" t="s">
        <v>124</v>
      </c>
      <c r="W19" s="19" t="s">
        <v>125</v>
      </c>
      <c r="X19" s="26" t="s">
        <v>126</v>
      </c>
      <c r="Y19" s="24" t="s">
        <v>911</v>
      </c>
      <c r="AA19" s="24" t="s">
        <v>895</v>
      </c>
      <c r="AD19" s="24" t="s">
        <v>883</v>
      </c>
      <c r="AG19" s="24" t="s">
        <v>910</v>
      </c>
      <c r="AM19" s="24" t="s">
        <v>881</v>
      </c>
    </row>
    <row r="20" spans="1:40" ht="14.85" customHeight="1">
      <c r="A20" t="s">
        <v>127</v>
      </c>
      <c r="B20" s="2" t="s">
        <v>25</v>
      </c>
      <c r="C20" s="5" t="s">
        <v>33</v>
      </c>
      <c r="D20" s="2" t="s">
        <v>25</v>
      </c>
      <c r="E20" s="5" t="s">
        <v>33</v>
      </c>
      <c r="F20" s="5" t="s">
        <v>33</v>
      </c>
      <c r="G20" s="5" t="s">
        <v>33</v>
      </c>
      <c r="H20" s="2" t="s">
        <v>25</v>
      </c>
      <c r="I20" s="5" t="s">
        <v>33</v>
      </c>
      <c r="J20" s="5" t="s">
        <v>33</v>
      </c>
      <c r="K20" s="5" t="s">
        <v>33</v>
      </c>
      <c r="L20" s="5" t="s">
        <v>33</v>
      </c>
      <c r="M20" s="5" t="s">
        <v>33</v>
      </c>
      <c r="N20" s="5" t="s">
        <v>33</v>
      </c>
      <c r="O20" s="5" t="s">
        <v>33</v>
      </c>
      <c r="P20" s="2">
        <f t="shared" si="0"/>
        <v>3</v>
      </c>
      <c r="Q20" s="1">
        <f t="shared" si="1"/>
        <v>0.21428571428571427</v>
      </c>
      <c r="R20" s="4" t="s">
        <v>26</v>
      </c>
      <c r="S20" t="s">
        <v>128</v>
      </c>
      <c r="T20" s="8" t="s">
        <v>28</v>
      </c>
      <c r="U20" s="8" t="s">
        <v>40</v>
      </c>
      <c r="V20" s="23" t="s">
        <v>124</v>
      </c>
      <c r="W20" s="23" t="s">
        <v>125</v>
      </c>
      <c r="X20" s="23" t="s">
        <v>126</v>
      </c>
      <c r="Y20" s="24" t="s">
        <v>912</v>
      </c>
      <c r="AD20" s="24" t="s">
        <v>883</v>
      </c>
      <c r="AG20" s="24" t="s">
        <v>910</v>
      </c>
      <c r="AM20" s="24" t="s">
        <v>881</v>
      </c>
    </row>
    <row r="21" spans="1:40" ht="14.85" customHeight="1">
      <c r="A21" t="s">
        <v>129</v>
      </c>
      <c r="B21" s="2" t="s">
        <v>25</v>
      </c>
      <c r="C21" s="5" t="s">
        <v>33</v>
      </c>
      <c r="D21" s="5" t="s">
        <v>33</v>
      </c>
      <c r="E21" s="5" t="s">
        <v>33</v>
      </c>
      <c r="F21" s="5" t="s">
        <v>33</v>
      </c>
      <c r="G21" s="5" t="s">
        <v>33</v>
      </c>
      <c r="H21" s="2" t="s">
        <v>25</v>
      </c>
      <c r="I21" s="5" t="s">
        <v>33</v>
      </c>
      <c r="J21" s="5" t="s">
        <v>33</v>
      </c>
      <c r="K21" s="2" t="s">
        <v>25</v>
      </c>
      <c r="L21" s="5" t="s">
        <v>33</v>
      </c>
      <c r="M21" s="5" t="s">
        <v>33</v>
      </c>
      <c r="N21" s="5" t="s">
        <v>33</v>
      </c>
      <c r="O21" s="5" t="s">
        <v>33</v>
      </c>
      <c r="P21" s="2">
        <f t="shared" si="0"/>
        <v>3</v>
      </c>
      <c r="Q21" s="1">
        <f t="shared" si="1"/>
        <v>0.21428571428571427</v>
      </c>
      <c r="R21" s="4" t="s">
        <v>26</v>
      </c>
      <c r="S21" t="s">
        <v>130</v>
      </c>
      <c r="T21" s="27" t="s">
        <v>34</v>
      </c>
      <c r="U21" s="27" t="s">
        <v>131</v>
      </c>
      <c r="V21" s="28" t="s">
        <v>35</v>
      </c>
      <c r="W21" s="28" t="s">
        <v>132</v>
      </c>
      <c r="X21" s="28" t="s">
        <v>133</v>
      </c>
      <c r="Y21" s="24" t="s">
        <v>913</v>
      </c>
      <c r="AD21" s="24" t="s">
        <v>883</v>
      </c>
      <c r="AG21" s="24" t="s">
        <v>884</v>
      </c>
      <c r="AM21" s="24" t="s">
        <v>881</v>
      </c>
    </row>
    <row r="22" spans="1:40" ht="14.85" customHeight="1">
      <c r="A22" t="s">
        <v>134</v>
      </c>
      <c r="B22" s="5" t="s">
        <v>33</v>
      </c>
      <c r="C22" s="5" t="s">
        <v>33</v>
      </c>
      <c r="D22" s="2" t="s">
        <v>25</v>
      </c>
      <c r="E22" s="2" t="s">
        <v>25</v>
      </c>
      <c r="F22" s="5" t="s">
        <v>33</v>
      </c>
      <c r="G22" s="5" t="s">
        <v>33</v>
      </c>
      <c r="H22" s="5" t="s">
        <v>33</v>
      </c>
      <c r="I22" s="5" t="s">
        <v>33</v>
      </c>
      <c r="J22" s="5" t="s">
        <v>33</v>
      </c>
      <c r="K22" s="2" t="s">
        <v>25</v>
      </c>
      <c r="L22" s="5" t="s">
        <v>33</v>
      </c>
      <c r="M22" s="5" t="s">
        <v>33</v>
      </c>
      <c r="N22" s="5" t="s">
        <v>33</v>
      </c>
      <c r="O22" s="5" t="s">
        <v>33</v>
      </c>
      <c r="P22" s="2">
        <f t="shared" si="0"/>
        <v>3</v>
      </c>
      <c r="Q22" s="1">
        <f t="shared" si="1"/>
        <v>0.21428571428571427</v>
      </c>
      <c r="R22" s="4" t="s">
        <v>26</v>
      </c>
      <c r="S22" t="s">
        <v>135</v>
      </c>
      <c r="T22" s="27" t="s">
        <v>34</v>
      </c>
      <c r="U22" s="27" t="s">
        <v>136</v>
      </c>
      <c r="V22" s="28" t="s">
        <v>56</v>
      </c>
      <c r="W22" s="28" t="s">
        <v>137</v>
      </c>
      <c r="X22" s="28" t="s">
        <v>138</v>
      </c>
      <c r="Y22" s="24" t="s">
        <v>914</v>
      </c>
      <c r="AD22" s="24" t="s">
        <v>899</v>
      </c>
      <c r="AG22" s="24" t="s">
        <v>890</v>
      </c>
      <c r="AM22" s="24" t="s">
        <v>881</v>
      </c>
    </row>
    <row r="23" spans="1:40" ht="14.85" customHeight="1">
      <c r="B23" s="5"/>
      <c r="C23" s="5"/>
      <c r="D23" s="2"/>
      <c r="E23" s="2"/>
      <c r="F23" s="5"/>
      <c r="G23" s="5"/>
      <c r="H23" s="5"/>
      <c r="I23" s="5"/>
      <c r="J23" s="5"/>
      <c r="K23" s="2"/>
      <c r="L23" s="5"/>
      <c r="M23" s="5"/>
      <c r="N23" s="5"/>
      <c r="O23" s="5"/>
      <c r="P23" s="2"/>
      <c r="Q23" s="1"/>
      <c r="R23" s="4"/>
      <c r="S23"/>
      <c r="T23" s="27" t="s">
        <v>34</v>
      </c>
      <c r="U23" s="27" t="s">
        <v>136</v>
      </c>
      <c r="V23" s="28" t="s">
        <v>56</v>
      </c>
      <c r="W23" s="28" t="s">
        <v>139</v>
      </c>
      <c r="X23" s="28" t="s">
        <v>138</v>
      </c>
    </row>
    <row r="24" spans="1:40" ht="14.85" customHeight="1">
      <c r="A24" t="s">
        <v>140</v>
      </c>
      <c r="B24" s="5" t="s">
        <v>33</v>
      </c>
      <c r="C24" s="5" t="s">
        <v>33</v>
      </c>
      <c r="D24" s="5" t="s">
        <v>33</v>
      </c>
      <c r="E24" s="2" t="s">
        <v>25</v>
      </c>
      <c r="F24" s="2" t="s">
        <v>25</v>
      </c>
      <c r="G24" s="5" t="s">
        <v>33</v>
      </c>
      <c r="H24" s="5" t="s">
        <v>33</v>
      </c>
      <c r="I24" s="5" t="s">
        <v>33</v>
      </c>
      <c r="J24" s="5" t="s">
        <v>33</v>
      </c>
      <c r="K24" s="5" t="s">
        <v>33</v>
      </c>
      <c r="L24" s="5" t="s">
        <v>33</v>
      </c>
      <c r="M24" s="5" t="s">
        <v>33</v>
      </c>
      <c r="N24" s="2" t="s">
        <v>25</v>
      </c>
      <c r="O24" s="5" t="s">
        <v>33</v>
      </c>
      <c r="P24" s="2">
        <f t="shared" ref="P24:P30" si="2">COUNTIF(B24:O24,"✔")</f>
        <v>3</v>
      </c>
      <c r="Q24" s="1">
        <f t="shared" ref="Q24:Q30" si="3">P24/14</f>
        <v>0.21428571428571427</v>
      </c>
      <c r="R24" s="4" t="s">
        <v>26</v>
      </c>
      <c r="S24" t="s">
        <v>141</v>
      </c>
      <c r="T24" s="27" t="s">
        <v>34</v>
      </c>
      <c r="U24" s="8" t="s">
        <v>29</v>
      </c>
      <c r="V24" s="19" t="s">
        <v>35</v>
      </c>
      <c r="W24" t="s">
        <v>142</v>
      </c>
      <c r="X24" t="s">
        <v>143</v>
      </c>
      <c r="Y24" s="24" t="s">
        <v>915</v>
      </c>
      <c r="AD24" s="24" t="s">
        <v>879</v>
      </c>
      <c r="AG24" s="24" t="s">
        <v>884</v>
      </c>
      <c r="AM24" s="24" t="s">
        <v>916</v>
      </c>
      <c r="AN24" s="24" t="s">
        <v>142</v>
      </c>
    </row>
    <row r="25" spans="1:40" ht="14.85" customHeight="1">
      <c r="A25" t="s">
        <v>144</v>
      </c>
      <c r="B25" s="2" t="s">
        <v>25</v>
      </c>
      <c r="C25" s="5" t="s">
        <v>33</v>
      </c>
      <c r="D25" s="5" t="s">
        <v>33</v>
      </c>
      <c r="E25" s="2" t="s">
        <v>25</v>
      </c>
      <c r="F25" s="5" t="s">
        <v>33</v>
      </c>
      <c r="G25" s="5" t="s">
        <v>33</v>
      </c>
      <c r="H25" s="5" t="s">
        <v>33</v>
      </c>
      <c r="I25" s="5" t="s">
        <v>33</v>
      </c>
      <c r="J25" s="5" t="s">
        <v>33</v>
      </c>
      <c r="K25" s="5" t="s">
        <v>33</v>
      </c>
      <c r="L25" s="5" t="s">
        <v>33</v>
      </c>
      <c r="M25" s="5" t="s">
        <v>33</v>
      </c>
      <c r="N25" s="5" t="s">
        <v>33</v>
      </c>
      <c r="O25" s="5" t="s">
        <v>33</v>
      </c>
      <c r="P25" s="2">
        <f t="shared" si="2"/>
        <v>2</v>
      </c>
      <c r="Q25" s="1">
        <f t="shared" si="3"/>
        <v>0.14285714285714285</v>
      </c>
      <c r="R25" s="4" t="s">
        <v>65</v>
      </c>
      <c r="S25" t="s">
        <v>145</v>
      </c>
      <c r="T25" s="8" t="s">
        <v>28</v>
      </c>
      <c r="U25" s="8" t="s">
        <v>146</v>
      </c>
      <c r="V25" s="23" t="s">
        <v>147</v>
      </c>
      <c r="W25" s="23" t="s">
        <v>91</v>
      </c>
      <c r="X25" s="23" t="s">
        <v>148</v>
      </c>
      <c r="Y25" s="24" t="s">
        <v>917</v>
      </c>
      <c r="AA25" s="24" t="s">
        <v>895</v>
      </c>
      <c r="AD25" s="24" t="s">
        <v>883</v>
      </c>
      <c r="AG25" s="24" t="s">
        <v>918</v>
      </c>
      <c r="AM25" s="24" t="s">
        <v>881</v>
      </c>
    </row>
    <row r="26" spans="1:40" ht="14.85" customHeight="1">
      <c r="A26" t="s">
        <v>149</v>
      </c>
      <c r="B26" s="2" t="s">
        <v>25</v>
      </c>
      <c r="C26" s="5" t="s">
        <v>33</v>
      </c>
      <c r="D26" s="5" t="s">
        <v>33</v>
      </c>
      <c r="E26" s="5" t="s">
        <v>33</v>
      </c>
      <c r="F26" s="5" t="s">
        <v>33</v>
      </c>
      <c r="G26" s="5" t="s">
        <v>33</v>
      </c>
      <c r="H26" s="5" t="s">
        <v>33</v>
      </c>
      <c r="I26" s="5" t="s">
        <v>33</v>
      </c>
      <c r="J26" s="5" t="s">
        <v>33</v>
      </c>
      <c r="K26" s="2" t="s">
        <v>25</v>
      </c>
      <c r="L26" s="2" t="s">
        <v>25</v>
      </c>
      <c r="M26" s="2" t="s">
        <v>25</v>
      </c>
      <c r="N26" s="5" t="s">
        <v>33</v>
      </c>
      <c r="O26" s="64" t="s">
        <v>25</v>
      </c>
      <c r="P26" s="2">
        <f t="shared" si="2"/>
        <v>5</v>
      </c>
      <c r="Q26" s="1">
        <f t="shared" si="3"/>
        <v>0.35714285714285715</v>
      </c>
      <c r="R26" s="4" t="s">
        <v>26</v>
      </c>
      <c r="S26" t="s">
        <v>150</v>
      </c>
      <c r="T26" s="8" t="s">
        <v>34</v>
      </c>
      <c r="U26" s="8" t="s">
        <v>40</v>
      </c>
      <c r="V26" s="23" t="s">
        <v>41</v>
      </c>
      <c r="W26" s="23" t="s">
        <v>151</v>
      </c>
      <c r="X26" s="23" t="s">
        <v>152</v>
      </c>
      <c r="Y26" s="24" t="s">
        <v>919</v>
      </c>
      <c r="AD26" s="24" t="s">
        <v>920</v>
      </c>
      <c r="AG26" s="24" t="s">
        <v>880</v>
      </c>
      <c r="AM26" s="24" t="s">
        <v>881</v>
      </c>
    </row>
    <row r="27" spans="1:40" ht="14.85" customHeight="1">
      <c r="A27" t="s">
        <v>153</v>
      </c>
      <c r="B27" s="2" t="s">
        <v>25</v>
      </c>
      <c r="C27" s="5" t="s">
        <v>33</v>
      </c>
      <c r="D27" s="5" t="s">
        <v>33</v>
      </c>
      <c r="E27" s="5" t="s">
        <v>33</v>
      </c>
      <c r="F27" s="5" t="s">
        <v>33</v>
      </c>
      <c r="G27" s="5" t="s">
        <v>33</v>
      </c>
      <c r="H27" s="5" t="s">
        <v>33</v>
      </c>
      <c r="I27" s="5" t="s">
        <v>33</v>
      </c>
      <c r="J27" s="5" t="s">
        <v>33</v>
      </c>
      <c r="K27" s="2" t="s">
        <v>25</v>
      </c>
      <c r="L27" s="5" t="s">
        <v>33</v>
      </c>
      <c r="N27" s="2" t="s">
        <v>25</v>
      </c>
      <c r="O27" s="8" t="s">
        <v>25</v>
      </c>
      <c r="P27" s="2">
        <f t="shared" si="2"/>
        <v>4</v>
      </c>
      <c r="Q27" s="1">
        <f t="shared" si="3"/>
        <v>0.2857142857142857</v>
      </c>
      <c r="R27" s="4" t="s">
        <v>26</v>
      </c>
      <c r="S27" t="s">
        <v>154</v>
      </c>
      <c r="T27" s="8" t="s">
        <v>34</v>
      </c>
      <c r="U27" s="8" t="s">
        <v>40</v>
      </c>
      <c r="V27" s="23" t="s">
        <v>41</v>
      </c>
      <c r="W27" s="23" t="s">
        <v>155</v>
      </c>
      <c r="X27" s="23" t="s">
        <v>156</v>
      </c>
      <c r="Y27" s="24" t="s">
        <v>921</v>
      </c>
      <c r="AD27" s="24" t="s">
        <v>883</v>
      </c>
      <c r="AG27" s="24" t="s">
        <v>880</v>
      </c>
      <c r="AM27" s="24" t="s">
        <v>881</v>
      </c>
    </row>
    <row r="28" spans="1:40" ht="14.85" customHeight="1">
      <c r="A28" t="s">
        <v>157</v>
      </c>
      <c r="B28" s="2" t="s">
        <v>25</v>
      </c>
      <c r="C28" s="5" t="s">
        <v>33</v>
      </c>
      <c r="D28" s="5" t="s">
        <v>33</v>
      </c>
      <c r="E28" s="5" t="s">
        <v>33</v>
      </c>
      <c r="F28" s="5" t="s">
        <v>33</v>
      </c>
      <c r="G28" s="5" t="s">
        <v>33</v>
      </c>
      <c r="H28" s="5" t="s">
        <v>33</v>
      </c>
      <c r="I28" s="5" t="s">
        <v>33</v>
      </c>
      <c r="J28" s="5" t="s">
        <v>33</v>
      </c>
      <c r="K28" s="2" t="s">
        <v>25</v>
      </c>
      <c r="L28" s="5" t="s">
        <v>33</v>
      </c>
      <c r="M28" s="5" t="s">
        <v>33</v>
      </c>
      <c r="N28" s="2" t="s">
        <v>25</v>
      </c>
      <c r="O28" s="5" t="s">
        <v>33</v>
      </c>
      <c r="P28" s="2">
        <f t="shared" si="2"/>
        <v>3</v>
      </c>
      <c r="Q28" s="1">
        <f t="shared" si="3"/>
        <v>0.21428571428571427</v>
      </c>
      <c r="R28" s="4" t="s">
        <v>26</v>
      </c>
      <c r="S28" t="s">
        <v>154</v>
      </c>
      <c r="T28" s="8" t="s">
        <v>34</v>
      </c>
      <c r="U28" s="8" t="s">
        <v>40</v>
      </c>
      <c r="V28" s="23" t="s">
        <v>41</v>
      </c>
      <c r="W28" s="23" t="s">
        <v>158</v>
      </c>
      <c r="X28" s="23" t="s">
        <v>156</v>
      </c>
      <c r="Y28" s="24" t="s">
        <v>922</v>
      </c>
      <c r="AD28" s="24" t="s">
        <v>883</v>
      </c>
      <c r="AG28" s="24" t="s">
        <v>880</v>
      </c>
      <c r="AM28" s="24" t="s">
        <v>881</v>
      </c>
    </row>
    <row r="29" spans="1:40" ht="12.6" customHeight="1">
      <c r="A29" t="s">
        <v>159</v>
      </c>
      <c r="B29" s="5" t="s">
        <v>33</v>
      </c>
      <c r="C29" s="5" t="s">
        <v>33</v>
      </c>
      <c r="D29" s="5" t="s">
        <v>33</v>
      </c>
      <c r="E29" s="5" t="s">
        <v>33</v>
      </c>
      <c r="F29" s="5" t="s">
        <v>33</v>
      </c>
      <c r="G29" s="2" t="s">
        <v>25</v>
      </c>
      <c r="H29" s="5" t="s">
        <v>33</v>
      </c>
      <c r="I29" s="2" t="s">
        <v>25</v>
      </c>
      <c r="J29" s="5" t="s">
        <v>33</v>
      </c>
      <c r="K29" s="5" t="s">
        <v>33</v>
      </c>
      <c r="L29" s="5" t="s">
        <v>33</v>
      </c>
      <c r="M29" s="5" t="s">
        <v>33</v>
      </c>
      <c r="N29" s="5" t="s">
        <v>33</v>
      </c>
      <c r="O29" s="5" t="s">
        <v>33</v>
      </c>
      <c r="P29" s="2">
        <f t="shared" si="2"/>
        <v>2</v>
      </c>
      <c r="Q29" s="1">
        <f t="shared" si="3"/>
        <v>0.14285714285714285</v>
      </c>
      <c r="R29" s="4" t="s">
        <v>26</v>
      </c>
      <c r="S29" t="s">
        <v>160</v>
      </c>
      <c r="T29" s="27" t="s">
        <v>34</v>
      </c>
      <c r="U29" s="2" t="s">
        <v>29</v>
      </c>
      <c r="V29" s="20" t="s">
        <v>161</v>
      </c>
      <c r="W29" s="19" t="s">
        <v>162</v>
      </c>
      <c r="X29" s="19" t="s">
        <v>163</v>
      </c>
      <c r="Y29" s="24" t="s">
        <v>923</v>
      </c>
      <c r="AD29" s="24" t="s">
        <v>893</v>
      </c>
      <c r="AG29" s="24" t="s">
        <v>884</v>
      </c>
      <c r="AM29" s="24" t="s">
        <v>881</v>
      </c>
    </row>
    <row r="30" spans="1:40" ht="14.85" customHeight="1">
      <c r="A30" s="29" t="s">
        <v>164</v>
      </c>
      <c r="B30" s="5" t="s">
        <v>33</v>
      </c>
      <c r="C30" s="2" t="s">
        <v>25</v>
      </c>
      <c r="D30" s="5" t="s">
        <v>33</v>
      </c>
      <c r="E30" s="5" t="s">
        <v>33</v>
      </c>
      <c r="F30" s="5" t="s">
        <v>33</v>
      </c>
      <c r="G30" s="5" t="s">
        <v>33</v>
      </c>
      <c r="H30" s="5" t="s">
        <v>33</v>
      </c>
      <c r="I30" s="5" t="s">
        <v>33</v>
      </c>
      <c r="J30" s="5" t="s">
        <v>33</v>
      </c>
      <c r="K30" s="2" t="s">
        <v>25</v>
      </c>
      <c r="L30" s="5" t="s">
        <v>33</v>
      </c>
      <c r="M30" s="5" t="s">
        <v>33</v>
      </c>
      <c r="N30" s="5" t="s">
        <v>33</v>
      </c>
      <c r="O30" s="5" t="s">
        <v>33</v>
      </c>
      <c r="P30" s="2">
        <f t="shared" si="2"/>
        <v>2</v>
      </c>
      <c r="Q30" s="1">
        <f t="shared" si="3"/>
        <v>0.14285714285714285</v>
      </c>
      <c r="R30" s="4" t="s">
        <v>65</v>
      </c>
      <c r="S30" t="s">
        <v>165</v>
      </c>
      <c r="T30" s="8" t="s">
        <v>34</v>
      </c>
      <c r="U30" s="8" t="s">
        <v>40</v>
      </c>
      <c r="V30" s="23" t="s">
        <v>166</v>
      </c>
      <c r="W30" t="s">
        <v>85</v>
      </c>
      <c r="X30" t="s">
        <v>167</v>
      </c>
      <c r="Y30" s="24" t="s">
        <v>924</v>
      </c>
      <c r="AA30" s="24" t="s">
        <v>895</v>
      </c>
      <c r="AD30" s="24" t="s">
        <v>883</v>
      </c>
      <c r="AG30" s="24" t="s">
        <v>925</v>
      </c>
      <c r="AM30" s="24" t="s">
        <v>881</v>
      </c>
    </row>
    <row r="31" spans="1:40" ht="14.85" customHeight="1">
      <c r="A31" s="29"/>
      <c r="B31" s="5"/>
      <c r="C31" s="2"/>
      <c r="D31" s="5"/>
      <c r="E31" s="5"/>
      <c r="F31" s="5"/>
      <c r="G31" s="5"/>
      <c r="H31" s="5"/>
      <c r="I31" s="5"/>
      <c r="J31" s="5"/>
      <c r="K31" s="2"/>
      <c r="L31" s="5"/>
      <c r="M31" s="5"/>
      <c r="N31" s="5"/>
      <c r="O31" s="5"/>
      <c r="P31" s="2"/>
      <c r="Q31" s="1"/>
      <c r="R31" s="4"/>
      <c r="S31"/>
      <c r="T31" s="8" t="s">
        <v>34</v>
      </c>
      <c r="U31" s="8" t="s">
        <v>40</v>
      </c>
      <c r="V31" s="23" t="s">
        <v>166</v>
      </c>
      <c r="W31" s="23" t="s">
        <v>168</v>
      </c>
      <c r="X31" s="23" t="s">
        <v>152</v>
      </c>
    </row>
    <row r="32" spans="1:40" ht="14.85" customHeight="1">
      <c r="A32" s="29"/>
      <c r="B32" s="5"/>
      <c r="C32" s="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2"/>
      <c r="Q32" s="1"/>
      <c r="R32" s="4"/>
      <c r="S32"/>
      <c r="T32" s="8" t="s">
        <v>34</v>
      </c>
      <c r="U32" s="8" t="s">
        <v>40</v>
      </c>
      <c r="V32" s="23" t="s">
        <v>166</v>
      </c>
      <c r="W32" s="23" t="s">
        <v>169</v>
      </c>
      <c r="X32" s="23" t="s">
        <v>152</v>
      </c>
    </row>
    <row r="33" spans="1:39" ht="14.85" customHeight="1">
      <c r="A33" s="29" t="s">
        <v>170</v>
      </c>
      <c r="B33" s="5" t="s">
        <v>33</v>
      </c>
      <c r="C33" s="5" t="s">
        <v>33</v>
      </c>
      <c r="D33" s="5" t="s">
        <v>33</v>
      </c>
      <c r="E33" s="5" t="s">
        <v>33</v>
      </c>
      <c r="F33" s="5" t="s">
        <v>33</v>
      </c>
      <c r="G33" s="5" t="s">
        <v>33</v>
      </c>
      <c r="H33" s="2" t="s">
        <v>25</v>
      </c>
      <c r="I33" s="5" t="s">
        <v>33</v>
      </c>
      <c r="J33" s="5" t="s">
        <v>33</v>
      </c>
      <c r="K33" s="5" t="s">
        <v>33</v>
      </c>
      <c r="L33" s="5" t="s">
        <v>33</v>
      </c>
      <c r="M33" s="5" t="s">
        <v>33</v>
      </c>
      <c r="N33" s="5" t="s">
        <v>33</v>
      </c>
      <c r="O33" s="5" t="s">
        <v>33</v>
      </c>
      <c r="P33" s="2">
        <f>COUNTIF(B33:O33,"✔")</f>
        <v>1</v>
      </c>
      <c r="Q33" s="1">
        <f>P33/14</f>
        <v>7.1428571428571425E-2</v>
      </c>
      <c r="R33" s="4" t="s">
        <v>65</v>
      </c>
      <c r="S33" t="s">
        <v>171</v>
      </c>
      <c r="T33" s="8" t="s">
        <v>34</v>
      </c>
      <c r="U33" s="8" t="s">
        <v>172</v>
      </c>
      <c r="V33" s="23" t="s">
        <v>173</v>
      </c>
      <c r="W33" s="23" t="s">
        <v>174</v>
      </c>
      <c r="X33" s="23" t="s">
        <v>107</v>
      </c>
      <c r="Y33" s="24" t="s">
        <v>926</v>
      </c>
      <c r="AA33" s="24" t="s">
        <v>895</v>
      </c>
      <c r="AD33" s="24" t="s">
        <v>899</v>
      </c>
      <c r="AG33" s="24" t="s">
        <v>910</v>
      </c>
      <c r="AM33" s="24" t="s">
        <v>881</v>
      </c>
    </row>
  </sheetData>
  <dataValidations count="7">
    <dataValidation type="list" allowBlank="1" showInputMessage="1" sqref="AA2:AA33" xr:uid="{F4B9C4E4-AC9C-4664-B242-8ABA477246D2}">
      <mc:AlternateContent xmlns:x12ac="http://schemas.microsoft.com/office/spreadsheetml/2011/1/ac" xmlns:mc="http://schemas.openxmlformats.org/markup-compatibility/2006">
        <mc:Choice Requires="x12ac">
          <x12ac:list>"Mandatory,Optional,Out of scope,N/A"</x12ac:list>
        </mc:Choice>
        <mc:Fallback>
          <formula1>"Mandatory,Optional,Out of scope,N/A"</formula1>
        </mc:Fallback>
      </mc:AlternateContent>
    </dataValidation>
    <dataValidation type="list" allowBlank="1" showInputMessage="1" sqref="AD2:AD33" xr:uid="{3D0F14E9-BFCA-4658-BDA8-7C1E7A7CEA3A}">
      <mc:AlternateContent xmlns:x12ac="http://schemas.microsoft.com/office/spreadsheetml/2011/1/ac" xmlns:mc="http://schemas.openxmlformats.org/markup-compatibility/2006">
        <mc:Choice Requires="x12ac">
          <x12ac:list>"numeric,categorical,boolean,date,text,document,geometry,time series,reference,composite"</x12ac:list>
        </mc:Choice>
        <mc:Fallback>
          <formula1>"numeric,categorical,boolean,date,text,document,geometry,time series,reference,composite"</formula1>
        </mc:Fallback>
      </mc:AlternateContent>
    </dataValidation>
    <dataValidation type="list" allowBlank="1" showInputMessage="1" sqref="AG2:AG33" xr:uid="{6C98CD44-A129-45D4-8A51-59E632AC3C51}">
      <mc:AlternateContent xmlns:x12ac="http://schemas.microsoft.com/office/spreadsheetml/2011/1/ac" xmlns:mc="http://schemas.openxmlformats.org/markup-compatibility/2006">
        <mc:Choice Requires="x12ac">
          <x12ac:list>"building,unit,zone,component,site / context,any level"</x12ac:list>
        </mc:Choice>
        <mc:Fallback>
          <formula1>"building,unit,zone,component,site / context,any level"</formula1>
        </mc:Fallback>
      </mc:AlternateContent>
    </dataValidation>
    <dataValidation type="list" allowBlank="1" showInputMessage="1" sqref="AH2:AH33" xr:uid="{4E7B347C-9C4D-495B-8E8F-44C57BD6B153}">
      <mc:AlternateContent xmlns:x12ac="http://schemas.microsoft.com/office/spreadsheetml/2011/1/ac" xmlns:mc="http://schemas.openxmlformats.org/markup-compatibility/2006">
        <mc:Choice Requires="x12ac">
          <x12ac:list>"static,historical,periodic,real-time"</x12ac:list>
        </mc:Choice>
        <mc:Fallback>
          <formula1>"static,historical,periodic,real-time"</formula1>
        </mc:Fallback>
      </mc:AlternateContent>
    </dataValidation>
    <dataValidation type="list" allowBlank="1" showInputMessage="1" sqref="AI2:AI33" xr:uid="{E8FC41A1-9CF2-4B39-B241-67E1252EA9B9}">
      <mc:AlternateContent xmlns:x12ac="http://schemas.microsoft.com/office/spreadsheetml/2011/1/ac" xmlns:mc="http://schemas.openxmlformats.org/markup-compatibility/2006">
        <mc:Choice Requires="x12ac">
          <x12ac:list>"Public,Restricted,Personal data (GDPR),Commercially sensitive"</x12ac:list>
        </mc:Choice>
        <mc:Fallback>
          <formula1>"Public,Restricted,Personal data (GDPR),Commercially sensitive"</formula1>
        </mc:Fallback>
      </mc:AlternateContent>
    </dataValidation>
    <dataValidation type="list" allowBlank="1" showInputMessage="1" sqref="AL2:AL33" xr:uid="{51814A2A-7CA5-48D2-A009-3913A9F4E281}">
      <mc:AlternateContent xmlns:x12ac="http://schemas.microsoft.com/office/spreadsheetml/2011/1/ac" xmlns:mc="http://schemas.openxmlformats.org/markup-compatibility/2006">
        <mc:Choice Requires="x12ac">
          <x12ac:list>"open data,API,manual input,inspection,derived"</x12ac:list>
        </mc:Choice>
        <mc:Fallback>
          <formula1>"open data,API,manual input,inspection,derived"</formula1>
        </mc:Fallback>
      </mc:AlternateContent>
    </dataValidation>
    <dataValidation type="list" allowBlank="1" showInputMessage="1" sqref="AM2:AM33" xr:uid="{00D3C5FE-F619-4D7E-B967-827E2B365E58}">
      <mc:AlternateContent xmlns:x12ac="http://schemas.microsoft.com/office/spreadsheetml/2011/1/ac" xmlns:mc="http://schemas.openxmlformats.org/markup-compatibility/2006">
        <mc:Choice Requires="x12ac">
          <x12ac:list>"Native,Workaround,Extension needed,Out of scope,N/A"</x12ac:list>
        </mc:Choice>
        <mc:Fallback>
          <formula1>"Native,Workaround,Extension needed,Out of scope,N/A"</formula1>
        </mc:Fallback>
      </mc:AlternateContent>
    </dataValidation>
  </dataValidations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N33"/>
  <sheetViews>
    <sheetView zoomScale="80" zoomScaleNormal="130" workbookViewId="0">
      <pane xSplit="1" ySplit="1" topLeftCell="M10" activePane="bottomRight" state="frozen"/>
      <selection pane="topRight" activeCell="B1" sqref="B1"/>
      <selection pane="bottomLeft" activeCell="A2" sqref="A2"/>
      <selection pane="bottomRight" activeCell="O1" sqref="O1"/>
    </sheetView>
  </sheetViews>
  <sheetFormatPr defaultRowHeight="15" customHeight="1"/>
  <cols>
    <col min="1" max="1" width="50.7109375" customWidth="1"/>
    <col min="2" max="17" width="13.7109375" customWidth="1"/>
    <col min="18" max="18" width="13.7109375" style="2" customWidth="1"/>
    <col min="19" max="19" width="20.7109375" style="2" customWidth="1"/>
    <col min="20" max="22" width="20.7109375" customWidth="1"/>
    <col min="25" max="40" width="16.7109375" customWidth="1"/>
  </cols>
  <sheetData>
    <row r="1" spans="1:40" ht="75" customHeight="1">
      <c r="A1" s="4" t="s">
        <v>175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9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67" t="s">
        <v>17</v>
      </c>
      <c r="S1" s="67" t="s">
        <v>18</v>
      </c>
      <c r="T1" s="12" t="s">
        <v>19</v>
      </c>
      <c r="U1" s="12" t="s">
        <v>20</v>
      </c>
      <c r="V1" s="3" t="s">
        <v>21</v>
      </c>
      <c r="W1" s="3" t="s">
        <v>22</v>
      </c>
      <c r="X1" s="3" t="s">
        <v>23</v>
      </c>
      <c r="Y1" s="3" t="s">
        <v>862</v>
      </c>
      <c r="Z1" s="3" t="s">
        <v>863</v>
      </c>
      <c r="AA1" s="3" t="s">
        <v>864</v>
      </c>
      <c r="AB1" s="3" t="s">
        <v>865</v>
      </c>
      <c r="AC1" s="3" t="s">
        <v>866</v>
      </c>
      <c r="AD1" s="3" t="s">
        <v>867</v>
      </c>
      <c r="AE1" s="3" t="s">
        <v>868</v>
      </c>
      <c r="AF1" s="3" t="s">
        <v>869</v>
      </c>
      <c r="AG1" s="3" t="s">
        <v>870</v>
      </c>
      <c r="AH1" s="3" t="s">
        <v>871</v>
      </c>
      <c r="AI1" s="3" t="s">
        <v>872</v>
      </c>
      <c r="AJ1" s="3" t="s">
        <v>873</v>
      </c>
      <c r="AK1" s="3" t="s">
        <v>874</v>
      </c>
      <c r="AL1" s="3" t="s">
        <v>875</v>
      </c>
      <c r="AM1" s="3" t="s">
        <v>876</v>
      </c>
      <c r="AN1" s="3" t="s">
        <v>877</v>
      </c>
    </row>
    <row r="2" spans="1:40" ht="14.85" customHeight="1">
      <c r="A2" s="14" t="s">
        <v>176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1"/>
      <c r="Q2" s="31"/>
      <c r="R2" s="65"/>
      <c r="S2" s="66"/>
      <c r="T2" s="32"/>
      <c r="U2" s="30"/>
      <c r="V2" s="16"/>
      <c r="W2" s="16"/>
      <c r="X2" s="31"/>
    </row>
    <row r="3" spans="1:40" ht="14.85" customHeight="1">
      <c r="A3" t="s">
        <v>177</v>
      </c>
      <c r="B3" s="8" t="s">
        <v>25</v>
      </c>
      <c r="C3" s="8" t="s">
        <v>25</v>
      </c>
      <c r="D3" s="5" t="s">
        <v>33</v>
      </c>
      <c r="E3" s="5" t="s">
        <v>33</v>
      </c>
      <c r="F3" s="5" t="s">
        <v>33</v>
      </c>
      <c r="G3" s="5" t="s">
        <v>33</v>
      </c>
      <c r="H3" s="8" t="s">
        <v>25</v>
      </c>
      <c r="I3" s="5" t="s">
        <v>33</v>
      </c>
      <c r="J3" s="5" t="s">
        <v>33</v>
      </c>
      <c r="K3" s="8" t="s">
        <v>25</v>
      </c>
      <c r="L3" s="5" t="s">
        <v>33</v>
      </c>
      <c r="M3" s="5" t="s">
        <v>33</v>
      </c>
      <c r="N3" s="5" t="s">
        <v>33</v>
      </c>
      <c r="O3" s="5" t="s">
        <v>33</v>
      </c>
      <c r="P3" s="2">
        <f t="shared" ref="P3:P10" si="0">COUNTIF(B3:O3,"✔")</f>
        <v>4</v>
      </c>
      <c r="Q3" s="1">
        <f t="shared" ref="Q3:Q10" si="1">P3/14</f>
        <v>0.2857142857142857</v>
      </c>
      <c r="R3" s="4" t="s">
        <v>26</v>
      </c>
      <c r="S3" t="s">
        <v>178</v>
      </c>
      <c r="T3" s="2" t="s">
        <v>34</v>
      </c>
      <c r="U3" s="33" t="s">
        <v>179</v>
      </c>
      <c r="V3" s="34" t="s">
        <v>180</v>
      </c>
      <c r="W3" t="s">
        <v>85</v>
      </c>
      <c r="X3" t="s">
        <v>181</v>
      </c>
      <c r="Y3" t="s">
        <v>927</v>
      </c>
      <c r="AD3" t="s">
        <v>883</v>
      </c>
      <c r="AG3" t="s">
        <v>910</v>
      </c>
      <c r="AM3" t="s">
        <v>881</v>
      </c>
    </row>
    <row r="4" spans="1:40" ht="14.85" customHeight="1">
      <c r="A4" t="s">
        <v>182</v>
      </c>
      <c r="B4" s="8" t="s">
        <v>25</v>
      </c>
      <c r="C4" s="5" t="s">
        <v>33</v>
      </c>
      <c r="D4" s="5" t="s">
        <v>33</v>
      </c>
      <c r="E4" s="5" t="s">
        <v>33</v>
      </c>
      <c r="F4" s="5" t="s">
        <v>33</v>
      </c>
      <c r="G4" s="5" t="s">
        <v>33</v>
      </c>
      <c r="H4" s="8" t="s">
        <v>25</v>
      </c>
      <c r="I4" s="8" t="s">
        <v>25</v>
      </c>
      <c r="J4" s="5" t="s">
        <v>33</v>
      </c>
      <c r="K4" s="8" t="s">
        <v>25</v>
      </c>
      <c r="L4" s="5" t="s">
        <v>33</v>
      </c>
      <c r="M4" s="8" t="s">
        <v>25</v>
      </c>
      <c r="N4" s="5" t="s">
        <v>33</v>
      </c>
      <c r="O4" s="5" t="s">
        <v>33</v>
      </c>
      <c r="P4" s="2">
        <f t="shared" si="0"/>
        <v>5</v>
      </c>
      <c r="Q4" s="1">
        <f t="shared" si="1"/>
        <v>0.35714285714285715</v>
      </c>
      <c r="R4" s="4" t="s">
        <v>26</v>
      </c>
      <c r="S4" t="s">
        <v>178</v>
      </c>
      <c r="T4" s="2" t="s">
        <v>34</v>
      </c>
      <c r="U4" s="33" t="s">
        <v>179</v>
      </c>
      <c r="V4" s="34" t="s">
        <v>180</v>
      </c>
      <c r="W4" t="s">
        <v>85</v>
      </c>
      <c r="X4" t="s">
        <v>181</v>
      </c>
      <c r="Y4" t="s">
        <v>928</v>
      </c>
      <c r="AD4" t="s">
        <v>883</v>
      </c>
      <c r="AG4" t="s">
        <v>910</v>
      </c>
      <c r="AM4" t="s">
        <v>881</v>
      </c>
    </row>
    <row r="5" spans="1:40" ht="14.85" customHeight="1">
      <c r="A5" t="s">
        <v>183</v>
      </c>
      <c r="B5" s="5" t="s">
        <v>33</v>
      </c>
      <c r="C5" s="8" t="s">
        <v>25</v>
      </c>
      <c r="D5" s="5" t="s">
        <v>33</v>
      </c>
      <c r="E5" s="5" t="s">
        <v>33</v>
      </c>
      <c r="F5" s="5" t="s">
        <v>33</v>
      </c>
      <c r="G5" s="8" t="s">
        <v>25</v>
      </c>
      <c r="H5" s="8" t="s">
        <v>25</v>
      </c>
      <c r="I5" s="5" t="s">
        <v>33</v>
      </c>
      <c r="J5" s="5" t="s">
        <v>33</v>
      </c>
      <c r="K5" s="8" t="s">
        <v>25</v>
      </c>
      <c r="L5" s="5" t="s">
        <v>33</v>
      </c>
      <c r="M5" s="5" t="s">
        <v>33</v>
      </c>
      <c r="N5" s="5" t="s">
        <v>33</v>
      </c>
      <c r="O5" s="5" t="s">
        <v>33</v>
      </c>
      <c r="P5" s="2">
        <f t="shared" si="0"/>
        <v>4</v>
      </c>
      <c r="Q5" s="1">
        <f t="shared" si="1"/>
        <v>0.2857142857142857</v>
      </c>
      <c r="R5" s="4" t="s">
        <v>26</v>
      </c>
      <c r="S5" t="s">
        <v>178</v>
      </c>
      <c r="T5" s="2" t="s">
        <v>34</v>
      </c>
      <c r="U5" s="2" t="s">
        <v>40</v>
      </c>
      <c r="V5" s="13" t="s">
        <v>41</v>
      </c>
      <c r="W5" s="13" t="s">
        <v>184</v>
      </c>
      <c r="X5" t="s">
        <v>185</v>
      </c>
      <c r="Y5" t="s">
        <v>929</v>
      </c>
      <c r="AD5" t="s">
        <v>883</v>
      </c>
      <c r="AG5" t="s">
        <v>880</v>
      </c>
      <c r="AM5" t="s">
        <v>881</v>
      </c>
    </row>
    <row r="6" spans="1:40" ht="14.85" customHeight="1">
      <c r="A6" s="7" t="s">
        <v>186</v>
      </c>
      <c r="B6" s="5" t="s">
        <v>33</v>
      </c>
      <c r="C6" s="5" t="s">
        <v>33</v>
      </c>
      <c r="D6" s="5" t="s">
        <v>33</v>
      </c>
      <c r="E6" s="5" t="s">
        <v>33</v>
      </c>
      <c r="F6" s="5" t="s">
        <v>33</v>
      </c>
      <c r="G6" s="5" t="s">
        <v>33</v>
      </c>
      <c r="H6" s="8" t="s">
        <v>25</v>
      </c>
      <c r="I6" s="8" t="s">
        <v>25</v>
      </c>
      <c r="J6" s="5" t="s">
        <v>33</v>
      </c>
      <c r="K6" s="5" t="s">
        <v>33</v>
      </c>
      <c r="L6" s="5" t="s">
        <v>33</v>
      </c>
      <c r="M6" s="5" t="s">
        <v>33</v>
      </c>
      <c r="N6" s="8" t="s">
        <v>25</v>
      </c>
      <c r="O6" s="5" t="s">
        <v>33</v>
      </c>
      <c r="P6" s="2">
        <f t="shared" si="0"/>
        <v>3</v>
      </c>
      <c r="Q6" s="1">
        <f t="shared" si="1"/>
        <v>0.21428571428571427</v>
      </c>
      <c r="R6" s="4" t="s">
        <v>26</v>
      </c>
      <c r="S6" t="s">
        <v>187</v>
      </c>
      <c r="T6" s="2" t="s">
        <v>33</v>
      </c>
      <c r="U6" s="2" t="s">
        <v>33</v>
      </c>
      <c r="V6" s="19"/>
      <c r="Y6" t="s">
        <v>930</v>
      </c>
      <c r="AM6" t="s">
        <v>931</v>
      </c>
    </row>
    <row r="7" spans="1:40" ht="14.85" customHeight="1">
      <c r="A7" s="7" t="s">
        <v>188</v>
      </c>
      <c r="B7" s="5" t="s">
        <v>33</v>
      </c>
      <c r="C7" s="5" t="s">
        <v>33</v>
      </c>
      <c r="D7" s="5" t="s">
        <v>33</v>
      </c>
      <c r="E7" s="5" t="s">
        <v>33</v>
      </c>
      <c r="F7" s="5" t="s">
        <v>33</v>
      </c>
      <c r="G7" s="5" t="s">
        <v>33</v>
      </c>
      <c r="H7" s="8" t="s">
        <v>25</v>
      </c>
      <c r="I7" s="8" t="s">
        <v>25</v>
      </c>
      <c r="J7" s="5" t="s">
        <v>33</v>
      </c>
      <c r="K7" s="5" t="s">
        <v>33</v>
      </c>
      <c r="L7" s="5" t="s">
        <v>33</v>
      </c>
      <c r="M7" s="5" t="s">
        <v>33</v>
      </c>
      <c r="N7" s="5" t="s">
        <v>33</v>
      </c>
      <c r="O7" s="5" t="s">
        <v>33</v>
      </c>
      <c r="P7" s="2">
        <f t="shared" si="0"/>
        <v>2</v>
      </c>
      <c r="Q7" s="1">
        <f t="shared" si="1"/>
        <v>0.14285714285714285</v>
      </c>
      <c r="R7" s="4" t="s">
        <v>26</v>
      </c>
      <c r="S7" t="s">
        <v>187</v>
      </c>
      <c r="T7" s="2" t="s">
        <v>33</v>
      </c>
      <c r="U7" s="2" t="s">
        <v>33</v>
      </c>
      <c r="V7" s="19"/>
      <c r="Y7" t="s">
        <v>932</v>
      </c>
      <c r="AM7" t="s">
        <v>931</v>
      </c>
    </row>
    <row r="8" spans="1:40" ht="14.85" customHeight="1">
      <c r="A8" s="7" t="s">
        <v>189</v>
      </c>
      <c r="B8" s="8" t="s">
        <v>25</v>
      </c>
      <c r="C8" s="5" t="s">
        <v>33</v>
      </c>
      <c r="D8" s="8" t="s">
        <v>25</v>
      </c>
      <c r="E8" s="8" t="s">
        <v>25</v>
      </c>
      <c r="F8" s="5" t="s">
        <v>33</v>
      </c>
      <c r="G8" s="8" t="s">
        <v>25</v>
      </c>
      <c r="H8" s="5" t="s">
        <v>33</v>
      </c>
      <c r="I8" s="5" t="s">
        <v>33</v>
      </c>
      <c r="J8" s="8" t="s">
        <v>25</v>
      </c>
      <c r="K8" s="8" t="s">
        <v>25</v>
      </c>
      <c r="L8" s="5" t="s">
        <v>33</v>
      </c>
      <c r="M8" s="5" t="s">
        <v>33</v>
      </c>
      <c r="N8" s="8" t="s">
        <v>25</v>
      </c>
      <c r="O8" s="5" t="s">
        <v>33</v>
      </c>
      <c r="P8" s="2">
        <f t="shared" si="0"/>
        <v>7</v>
      </c>
      <c r="Q8" s="1">
        <f t="shared" si="1"/>
        <v>0.5</v>
      </c>
      <c r="R8" s="4" t="s">
        <v>26</v>
      </c>
      <c r="S8" t="s">
        <v>190</v>
      </c>
      <c r="T8" s="2" t="s">
        <v>34</v>
      </c>
      <c r="U8" s="2" t="s">
        <v>40</v>
      </c>
      <c r="V8" t="s">
        <v>119</v>
      </c>
      <c r="W8" t="s">
        <v>191</v>
      </c>
      <c r="X8" t="s">
        <v>192</v>
      </c>
      <c r="Y8" t="s">
        <v>933</v>
      </c>
      <c r="AD8" t="s">
        <v>899</v>
      </c>
      <c r="AG8" t="s">
        <v>910</v>
      </c>
      <c r="AM8" t="s">
        <v>881</v>
      </c>
    </row>
    <row r="9" spans="1:40" ht="14.85" customHeight="1">
      <c r="A9" t="s">
        <v>193</v>
      </c>
      <c r="B9" s="9" t="s">
        <v>25</v>
      </c>
      <c r="C9" s="5" t="s">
        <v>33</v>
      </c>
      <c r="D9" s="5" t="s">
        <v>33</v>
      </c>
      <c r="E9" s="5" t="s">
        <v>33</v>
      </c>
      <c r="F9" s="8" t="s">
        <v>25</v>
      </c>
      <c r="G9" s="5" t="s">
        <v>33</v>
      </c>
      <c r="H9" s="5" t="s">
        <v>33</v>
      </c>
      <c r="I9" s="5" t="s">
        <v>33</v>
      </c>
      <c r="J9" s="8" t="s">
        <v>25</v>
      </c>
      <c r="K9" s="8" t="s">
        <v>25</v>
      </c>
      <c r="L9" s="8" t="s">
        <v>25</v>
      </c>
      <c r="M9" s="5" t="s">
        <v>33</v>
      </c>
      <c r="N9" s="5" t="s">
        <v>33</v>
      </c>
      <c r="O9" s="5" t="s">
        <v>33</v>
      </c>
      <c r="P9" s="2">
        <f t="shared" si="0"/>
        <v>5</v>
      </c>
      <c r="Q9" s="1">
        <f t="shared" si="1"/>
        <v>0.35714285714285715</v>
      </c>
      <c r="R9" s="4" t="s">
        <v>26</v>
      </c>
      <c r="S9" t="s">
        <v>190</v>
      </c>
      <c r="T9" s="2" t="s">
        <v>34</v>
      </c>
      <c r="U9" s="2" t="s">
        <v>40</v>
      </c>
      <c r="V9" t="s">
        <v>166</v>
      </c>
      <c r="W9" t="s">
        <v>194</v>
      </c>
      <c r="X9" t="s">
        <v>192</v>
      </c>
      <c r="Y9" t="s">
        <v>934</v>
      </c>
      <c r="AD9" t="s">
        <v>899</v>
      </c>
      <c r="AG9" t="s">
        <v>925</v>
      </c>
      <c r="AM9" t="s">
        <v>881</v>
      </c>
    </row>
    <row r="10" spans="1:40" ht="14.85" customHeight="1">
      <c r="A10" t="s">
        <v>195</v>
      </c>
      <c r="B10" s="9" t="s">
        <v>25</v>
      </c>
      <c r="C10" s="6" t="s">
        <v>33</v>
      </c>
      <c r="D10" s="5" t="s">
        <v>33</v>
      </c>
      <c r="E10" s="5" t="s">
        <v>33</v>
      </c>
      <c r="F10" s="5" t="s">
        <v>33</v>
      </c>
      <c r="G10" s="9" t="s">
        <v>25</v>
      </c>
      <c r="H10" s="5" t="s">
        <v>33</v>
      </c>
      <c r="I10" s="5" t="s">
        <v>33</v>
      </c>
      <c r="J10" s="8" t="s">
        <v>25</v>
      </c>
      <c r="K10" s="8" t="s">
        <v>25</v>
      </c>
      <c r="L10" s="5" t="s">
        <v>33</v>
      </c>
      <c r="M10" s="5" t="s">
        <v>33</v>
      </c>
      <c r="N10" s="8" t="s">
        <v>25</v>
      </c>
      <c r="O10" s="5" t="s">
        <v>33</v>
      </c>
      <c r="P10" s="2">
        <f t="shared" si="0"/>
        <v>5</v>
      </c>
      <c r="Q10" s="1">
        <f t="shared" si="1"/>
        <v>0.35714285714285715</v>
      </c>
      <c r="R10" s="4" t="s">
        <v>26</v>
      </c>
      <c r="S10" t="s">
        <v>190</v>
      </c>
      <c r="T10" s="2" t="s">
        <v>34</v>
      </c>
      <c r="U10" s="2" t="s">
        <v>40</v>
      </c>
      <c r="V10" t="s">
        <v>166</v>
      </c>
      <c r="W10" t="s">
        <v>196</v>
      </c>
      <c r="X10" t="s">
        <v>192</v>
      </c>
      <c r="Y10" t="s">
        <v>935</v>
      </c>
      <c r="AD10" t="s">
        <v>899</v>
      </c>
      <c r="AG10" t="s">
        <v>925</v>
      </c>
      <c r="AM10" t="s">
        <v>881</v>
      </c>
    </row>
    <row r="11" spans="1:40" ht="14.85" customHeight="1">
      <c r="A11" s="14" t="s">
        <v>197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32"/>
      <c r="Q11" s="17"/>
      <c r="R11" s="65"/>
      <c r="S11" s="66"/>
      <c r="T11" s="32"/>
      <c r="U11" s="32"/>
      <c r="V11" s="31"/>
      <c r="W11" s="31"/>
      <c r="X11" s="31"/>
    </row>
    <row r="12" spans="1:40" ht="14.85" customHeight="1">
      <c r="A12" t="s">
        <v>198</v>
      </c>
      <c r="B12" s="5" t="s">
        <v>33</v>
      </c>
      <c r="C12" s="5" t="s">
        <v>33</v>
      </c>
      <c r="D12" s="5" t="s">
        <v>33</v>
      </c>
      <c r="E12" s="8" t="s">
        <v>25</v>
      </c>
      <c r="F12" s="5" t="s">
        <v>33</v>
      </c>
      <c r="G12" s="5" t="s">
        <v>33</v>
      </c>
      <c r="H12" s="5" t="s">
        <v>33</v>
      </c>
      <c r="I12" s="5" t="s">
        <v>33</v>
      </c>
      <c r="J12" s="5" t="s">
        <v>33</v>
      </c>
      <c r="K12" s="5" t="s">
        <v>33</v>
      </c>
      <c r="L12" s="5" t="s">
        <v>33</v>
      </c>
      <c r="M12" s="5" t="s">
        <v>33</v>
      </c>
      <c r="N12" s="5" t="s">
        <v>33</v>
      </c>
      <c r="O12" s="5" t="s">
        <v>33</v>
      </c>
      <c r="P12" s="2">
        <f t="shared" ref="P12:P33" si="2">COUNTIF(B12:O12,"✔")</f>
        <v>1</v>
      </c>
      <c r="Q12" s="1">
        <f t="shared" ref="Q12:Q33" si="3">P12/14</f>
        <v>7.1428571428571425E-2</v>
      </c>
      <c r="R12" s="2" t="s">
        <v>199</v>
      </c>
      <c r="S12" t="s">
        <v>200</v>
      </c>
      <c r="T12" s="5"/>
      <c r="U12" s="2" t="s">
        <v>199</v>
      </c>
      <c r="Y12" t="s">
        <v>936</v>
      </c>
      <c r="AA12" t="s">
        <v>199</v>
      </c>
      <c r="AM12" t="s">
        <v>199</v>
      </c>
    </row>
    <row r="13" spans="1:40" ht="14.85" customHeight="1">
      <c r="A13" t="s">
        <v>201</v>
      </c>
      <c r="B13" s="8" t="s">
        <v>25</v>
      </c>
      <c r="C13" s="8" t="s">
        <v>25</v>
      </c>
      <c r="D13" s="8" t="s">
        <v>25</v>
      </c>
      <c r="E13" s="5" t="s">
        <v>33</v>
      </c>
      <c r="F13" s="8" t="s">
        <v>25</v>
      </c>
      <c r="G13" s="5" t="s">
        <v>33</v>
      </c>
      <c r="H13" s="5" t="s">
        <v>33</v>
      </c>
      <c r="I13" s="5" t="s">
        <v>33</v>
      </c>
      <c r="J13" s="8" t="s">
        <v>25</v>
      </c>
      <c r="K13" s="8" t="s">
        <v>25</v>
      </c>
      <c r="L13" s="5" t="s">
        <v>33</v>
      </c>
      <c r="M13" s="8" t="s">
        <v>25</v>
      </c>
      <c r="N13" s="8" t="s">
        <v>25</v>
      </c>
      <c r="O13" s="5" t="s">
        <v>33</v>
      </c>
      <c r="P13" s="2">
        <f t="shared" si="2"/>
        <v>8</v>
      </c>
      <c r="Q13" s="1">
        <f t="shared" si="3"/>
        <v>0.5714285714285714</v>
      </c>
      <c r="R13" s="4" t="s">
        <v>26</v>
      </c>
      <c r="S13" t="s">
        <v>178</v>
      </c>
      <c r="T13" s="2" t="s">
        <v>34</v>
      </c>
      <c r="U13" s="2" t="s">
        <v>40</v>
      </c>
      <c r="V13" t="s">
        <v>202</v>
      </c>
      <c r="W13" t="s">
        <v>203</v>
      </c>
      <c r="X13" t="s">
        <v>31</v>
      </c>
      <c r="Y13" t="s">
        <v>937</v>
      </c>
      <c r="AD13" t="s">
        <v>879</v>
      </c>
      <c r="AG13" t="s">
        <v>910</v>
      </c>
      <c r="AM13" t="s">
        <v>881</v>
      </c>
    </row>
    <row r="14" spans="1:40" ht="14.85" customHeight="1">
      <c r="A14" t="s">
        <v>204</v>
      </c>
      <c r="B14" s="8" t="s">
        <v>25</v>
      </c>
      <c r="C14" s="8" t="s">
        <v>25</v>
      </c>
      <c r="D14" s="8" t="s">
        <v>25</v>
      </c>
      <c r="E14" s="5" t="s">
        <v>33</v>
      </c>
      <c r="F14" s="8" t="s">
        <v>25</v>
      </c>
      <c r="G14" s="8" t="s">
        <v>25</v>
      </c>
      <c r="H14" s="5" t="s">
        <v>33</v>
      </c>
      <c r="I14" s="5" t="s">
        <v>33</v>
      </c>
      <c r="J14" s="8" t="s">
        <v>25</v>
      </c>
      <c r="K14" s="8" t="s">
        <v>25</v>
      </c>
      <c r="L14" s="5" t="s">
        <v>33</v>
      </c>
      <c r="M14" s="5" t="s">
        <v>33</v>
      </c>
      <c r="N14" s="8" t="s">
        <v>25</v>
      </c>
      <c r="O14" s="64" t="s">
        <v>33</v>
      </c>
      <c r="P14" s="2">
        <f t="shared" si="2"/>
        <v>8</v>
      </c>
      <c r="Q14" s="1">
        <f t="shared" si="3"/>
        <v>0.5714285714285714</v>
      </c>
      <c r="R14" s="4" t="s">
        <v>26</v>
      </c>
      <c r="S14" t="s">
        <v>178</v>
      </c>
      <c r="T14" s="33" t="s">
        <v>34</v>
      </c>
      <c r="U14" s="33" t="s">
        <v>40</v>
      </c>
      <c r="V14" s="34" t="s">
        <v>205</v>
      </c>
      <c r="W14" s="34" t="s">
        <v>206</v>
      </c>
      <c r="X14" s="34" t="s">
        <v>207</v>
      </c>
      <c r="Y14" t="s">
        <v>938</v>
      </c>
      <c r="AD14" t="s">
        <v>899</v>
      </c>
      <c r="AG14" t="s">
        <v>910</v>
      </c>
      <c r="AM14" t="s">
        <v>881</v>
      </c>
    </row>
    <row r="15" spans="1:40" ht="14.85" customHeight="1">
      <c r="A15" t="s">
        <v>208</v>
      </c>
      <c r="B15" s="8" t="s">
        <v>25</v>
      </c>
      <c r="C15" s="8" t="s">
        <v>25</v>
      </c>
      <c r="D15" s="5" t="s">
        <v>33</v>
      </c>
      <c r="E15" s="5" t="s">
        <v>33</v>
      </c>
      <c r="F15" s="5" t="s">
        <v>33</v>
      </c>
      <c r="G15" s="8" t="s">
        <v>25</v>
      </c>
      <c r="H15" s="5" t="s">
        <v>33</v>
      </c>
      <c r="I15" s="5" t="s">
        <v>33</v>
      </c>
      <c r="J15" s="8" t="s">
        <v>25</v>
      </c>
      <c r="K15" s="8" t="s">
        <v>25</v>
      </c>
      <c r="L15" s="8" t="s">
        <v>25</v>
      </c>
      <c r="M15" s="5" t="s">
        <v>33</v>
      </c>
      <c r="N15" s="8" t="s">
        <v>25</v>
      </c>
      <c r="O15" s="5" t="s">
        <v>33</v>
      </c>
      <c r="P15" s="2">
        <f t="shared" si="2"/>
        <v>7</v>
      </c>
      <c r="Q15" s="1">
        <f t="shared" si="3"/>
        <v>0.5</v>
      </c>
      <c r="R15" s="4" t="s">
        <v>26</v>
      </c>
      <c r="S15" t="s">
        <v>209</v>
      </c>
      <c r="T15" s="33" t="s">
        <v>34</v>
      </c>
      <c r="U15" s="33" t="s">
        <v>179</v>
      </c>
      <c r="V15" s="34" t="s">
        <v>180</v>
      </c>
      <c r="W15" s="34" t="s">
        <v>210</v>
      </c>
      <c r="X15" s="34" t="s">
        <v>211</v>
      </c>
      <c r="Y15" t="s">
        <v>939</v>
      </c>
      <c r="AD15" t="s">
        <v>899</v>
      </c>
      <c r="AG15" t="s">
        <v>910</v>
      </c>
      <c r="AM15" t="s">
        <v>881</v>
      </c>
    </row>
    <row r="16" spans="1:40" ht="14.85" customHeight="1">
      <c r="A16" t="s">
        <v>212</v>
      </c>
      <c r="B16" s="8" t="s">
        <v>25</v>
      </c>
      <c r="C16" s="5" t="s">
        <v>33</v>
      </c>
      <c r="D16" s="8" t="s">
        <v>25</v>
      </c>
      <c r="E16" s="5" t="s">
        <v>33</v>
      </c>
      <c r="F16" s="8" t="s">
        <v>25</v>
      </c>
      <c r="G16" s="8" t="s">
        <v>25</v>
      </c>
      <c r="H16" s="5" t="s">
        <v>33</v>
      </c>
      <c r="I16" s="8" t="s">
        <v>25</v>
      </c>
      <c r="J16" s="8" t="s">
        <v>25</v>
      </c>
      <c r="K16" s="8" t="s">
        <v>25</v>
      </c>
      <c r="L16" s="8" t="s">
        <v>25</v>
      </c>
      <c r="M16" s="8" t="s">
        <v>25</v>
      </c>
      <c r="N16" s="8" t="s">
        <v>25</v>
      </c>
      <c r="O16" s="5" t="s">
        <v>25</v>
      </c>
      <c r="P16" s="2">
        <f t="shared" si="2"/>
        <v>11</v>
      </c>
      <c r="Q16" s="1">
        <f t="shared" si="3"/>
        <v>0.7857142857142857</v>
      </c>
      <c r="R16" s="4" t="s">
        <v>26</v>
      </c>
      <c r="S16" t="s">
        <v>213</v>
      </c>
      <c r="T16" s="33" t="s">
        <v>34</v>
      </c>
      <c r="U16" s="33" t="s">
        <v>179</v>
      </c>
      <c r="V16" s="34" t="s">
        <v>180</v>
      </c>
      <c r="W16" s="34" t="s">
        <v>85</v>
      </c>
      <c r="X16" s="34" t="s">
        <v>181</v>
      </c>
      <c r="Y16" t="s">
        <v>940</v>
      </c>
      <c r="AD16" t="s">
        <v>883</v>
      </c>
      <c r="AG16" t="s">
        <v>910</v>
      </c>
      <c r="AM16" t="s">
        <v>881</v>
      </c>
    </row>
    <row r="17" spans="1:40" ht="14.85" customHeight="1">
      <c r="A17" t="s">
        <v>214</v>
      </c>
      <c r="B17" s="8" t="s">
        <v>25</v>
      </c>
      <c r="C17" s="8" t="s">
        <v>25</v>
      </c>
      <c r="D17" s="8" t="s">
        <v>25</v>
      </c>
      <c r="E17" s="5" t="s">
        <v>33</v>
      </c>
      <c r="F17" s="5" t="s">
        <v>33</v>
      </c>
      <c r="G17" s="8" t="s">
        <v>25</v>
      </c>
      <c r="H17" s="5" t="s">
        <v>33</v>
      </c>
      <c r="I17" s="5" t="s">
        <v>33</v>
      </c>
      <c r="J17" s="5" t="s">
        <v>33</v>
      </c>
      <c r="K17" s="8" t="s">
        <v>25</v>
      </c>
      <c r="L17" s="8" t="s">
        <v>25</v>
      </c>
      <c r="M17" s="5" t="s">
        <v>33</v>
      </c>
      <c r="N17" s="5" t="s">
        <v>33</v>
      </c>
      <c r="O17" s="5" t="s">
        <v>33</v>
      </c>
      <c r="P17" s="2">
        <f t="shared" si="2"/>
        <v>6</v>
      </c>
      <c r="Q17" s="1">
        <f t="shared" si="3"/>
        <v>0.42857142857142855</v>
      </c>
      <c r="R17" s="4" t="s">
        <v>26</v>
      </c>
      <c r="S17" t="s">
        <v>213</v>
      </c>
      <c r="T17" s="35" t="s">
        <v>34</v>
      </c>
      <c r="U17" s="35" t="s">
        <v>172</v>
      </c>
      <c r="V17" s="36" t="s">
        <v>215</v>
      </c>
      <c r="W17" s="36" t="s">
        <v>85</v>
      </c>
      <c r="X17" s="36" t="s">
        <v>216</v>
      </c>
      <c r="Y17" t="s">
        <v>941</v>
      </c>
      <c r="AD17" t="s">
        <v>883</v>
      </c>
      <c r="AG17" t="s">
        <v>910</v>
      </c>
      <c r="AM17" t="s">
        <v>881</v>
      </c>
    </row>
    <row r="18" spans="1:40" ht="14.85" customHeight="1">
      <c r="A18" t="s">
        <v>217</v>
      </c>
      <c r="B18" s="8" t="s">
        <v>25</v>
      </c>
      <c r="C18" s="5" t="s">
        <v>33</v>
      </c>
      <c r="D18" s="8" t="s">
        <v>25</v>
      </c>
      <c r="E18" s="5" t="s">
        <v>33</v>
      </c>
      <c r="F18" s="5" t="s">
        <v>33</v>
      </c>
      <c r="G18" s="8" t="s">
        <v>25</v>
      </c>
      <c r="H18" s="5" t="s">
        <v>33</v>
      </c>
      <c r="I18" s="5" t="s">
        <v>33</v>
      </c>
      <c r="J18" s="8" t="s">
        <v>25</v>
      </c>
      <c r="K18" s="8" t="s">
        <v>25</v>
      </c>
      <c r="L18" s="5" t="s">
        <v>33</v>
      </c>
      <c r="M18" s="5" t="s">
        <v>33</v>
      </c>
      <c r="N18" s="5" t="s">
        <v>33</v>
      </c>
      <c r="O18" s="5" t="s">
        <v>33</v>
      </c>
      <c r="P18" s="2">
        <f t="shared" si="2"/>
        <v>5</v>
      </c>
      <c r="Q18" s="1">
        <f t="shared" si="3"/>
        <v>0.35714285714285715</v>
      </c>
      <c r="R18" s="4" t="s">
        <v>26</v>
      </c>
      <c r="S18" t="s">
        <v>178</v>
      </c>
      <c r="T18" s="35" t="s">
        <v>34</v>
      </c>
      <c r="U18" s="35" t="s">
        <v>179</v>
      </c>
      <c r="V18" s="36" t="s">
        <v>180</v>
      </c>
      <c r="W18" s="36" t="s">
        <v>218</v>
      </c>
      <c r="X18" s="36" t="s">
        <v>211</v>
      </c>
      <c r="Y18" t="s">
        <v>942</v>
      </c>
      <c r="AD18" t="s">
        <v>899</v>
      </c>
      <c r="AG18" t="s">
        <v>910</v>
      </c>
      <c r="AM18" t="s">
        <v>881</v>
      </c>
    </row>
    <row r="19" spans="1:40" ht="14.85" customHeight="1">
      <c r="A19" t="s">
        <v>219</v>
      </c>
      <c r="B19" s="8" t="s">
        <v>25</v>
      </c>
      <c r="C19" s="5" t="s">
        <v>33</v>
      </c>
      <c r="D19" s="8" t="s">
        <v>25</v>
      </c>
      <c r="E19" s="5" t="s">
        <v>33</v>
      </c>
      <c r="F19" s="5" t="s">
        <v>33</v>
      </c>
      <c r="G19" s="5" t="s">
        <v>33</v>
      </c>
      <c r="H19" s="5" t="s">
        <v>33</v>
      </c>
      <c r="I19" s="5" t="s">
        <v>33</v>
      </c>
      <c r="J19" s="8" t="s">
        <v>25</v>
      </c>
      <c r="K19" s="8" t="s">
        <v>25</v>
      </c>
      <c r="L19" s="5" t="s">
        <v>33</v>
      </c>
      <c r="M19" s="8" t="s">
        <v>25</v>
      </c>
      <c r="N19" s="5" t="s">
        <v>33</v>
      </c>
      <c r="O19" s="5" t="s">
        <v>33</v>
      </c>
      <c r="P19" s="2">
        <f t="shared" si="2"/>
        <v>5</v>
      </c>
      <c r="Q19" s="1">
        <f t="shared" si="3"/>
        <v>0.35714285714285715</v>
      </c>
      <c r="R19" s="4" t="s">
        <v>26</v>
      </c>
      <c r="S19" t="s">
        <v>220</v>
      </c>
      <c r="T19" s="33" t="s">
        <v>34</v>
      </c>
      <c r="U19" s="33" t="s">
        <v>179</v>
      </c>
      <c r="V19" s="34" t="s">
        <v>221</v>
      </c>
      <c r="W19" s="34" t="s">
        <v>85</v>
      </c>
      <c r="X19" s="34" t="s">
        <v>222</v>
      </c>
      <c r="Y19" t="s">
        <v>943</v>
      </c>
      <c r="AD19" t="s">
        <v>883</v>
      </c>
      <c r="AG19" t="s">
        <v>910</v>
      </c>
      <c r="AM19" t="s">
        <v>881</v>
      </c>
    </row>
    <row r="20" spans="1:40" ht="14.85" customHeight="1">
      <c r="A20" t="s">
        <v>223</v>
      </c>
      <c r="B20" s="8" t="s">
        <v>25</v>
      </c>
      <c r="C20" s="5" t="s">
        <v>33</v>
      </c>
      <c r="D20" s="8" t="s">
        <v>25</v>
      </c>
      <c r="E20" s="5" t="s">
        <v>33</v>
      </c>
      <c r="F20" s="5" t="s">
        <v>33</v>
      </c>
      <c r="G20" s="8" t="s">
        <v>25</v>
      </c>
      <c r="H20" s="5" t="s">
        <v>33</v>
      </c>
      <c r="I20" s="5" t="s">
        <v>33</v>
      </c>
      <c r="J20" s="8" t="s">
        <v>25</v>
      </c>
      <c r="K20" s="8" t="s">
        <v>25</v>
      </c>
      <c r="L20" s="5" t="s">
        <v>33</v>
      </c>
      <c r="M20" s="5" t="s">
        <v>33</v>
      </c>
      <c r="N20" s="5" t="s">
        <v>33</v>
      </c>
      <c r="O20" s="5" t="s">
        <v>33</v>
      </c>
      <c r="P20" s="2">
        <f t="shared" si="2"/>
        <v>5</v>
      </c>
      <c r="Q20" s="1">
        <f t="shared" si="3"/>
        <v>0.35714285714285715</v>
      </c>
      <c r="R20" s="4" t="s">
        <v>26</v>
      </c>
      <c r="S20" t="s">
        <v>178</v>
      </c>
      <c r="T20" s="33" t="s">
        <v>34</v>
      </c>
      <c r="U20" s="33" t="s">
        <v>179</v>
      </c>
      <c r="V20" s="34" t="s">
        <v>180</v>
      </c>
      <c r="W20" s="34" t="s">
        <v>224</v>
      </c>
      <c r="X20" s="34" t="s">
        <v>192</v>
      </c>
      <c r="Y20" t="s">
        <v>944</v>
      </c>
      <c r="AD20" t="s">
        <v>899</v>
      </c>
      <c r="AG20" t="s">
        <v>910</v>
      </c>
      <c r="AM20" t="s">
        <v>881</v>
      </c>
    </row>
    <row r="21" spans="1:40" ht="14.85" customHeight="1">
      <c r="A21" t="s">
        <v>225</v>
      </c>
      <c r="B21" s="5" t="s">
        <v>33</v>
      </c>
      <c r="C21" s="5" t="s">
        <v>33</v>
      </c>
      <c r="D21" s="8" t="s">
        <v>25</v>
      </c>
      <c r="E21" s="5" t="s">
        <v>33</v>
      </c>
      <c r="F21" s="5" t="s">
        <v>33</v>
      </c>
      <c r="G21" s="8" t="s">
        <v>25</v>
      </c>
      <c r="H21" s="5" t="s">
        <v>33</v>
      </c>
      <c r="I21" s="5" t="s">
        <v>33</v>
      </c>
      <c r="J21" s="8" t="s">
        <v>25</v>
      </c>
      <c r="K21" s="8" t="s">
        <v>25</v>
      </c>
      <c r="L21" s="5" t="s">
        <v>33</v>
      </c>
      <c r="M21" s="5" t="s">
        <v>33</v>
      </c>
      <c r="N21" s="5" t="s">
        <v>33</v>
      </c>
      <c r="O21" s="5" t="s">
        <v>33</v>
      </c>
      <c r="P21" s="2">
        <f t="shared" si="2"/>
        <v>4</v>
      </c>
      <c r="Q21" s="1">
        <f t="shared" si="3"/>
        <v>0.2857142857142857</v>
      </c>
      <c r="R21" s="4" t="s">
        <v>26</v>
      </c>
      <c r="S21" t="s">
        <v>178</v>
      </c>
      <c r="T21" s="33" t="s">
        <v>34</v>
      </c>
      <c r="U21" s="33" t="s">
        <v>179</v>
      </c>
      <c r="V21" s="34" t="s">
        <v>180</v>
      </c>
      <c r="W21" s="34" t="s">
        <v>224</v>
      </c>
      <c r="X21" s="34" t="s">
        <v>192</v>
      </c>
      <c r="Y21" t="s">
        <v>945</v>
      </c>
      <c r="AD21" t="s">
        <v>899</v>
      </c>
      <c r="AG21" t="s">
        <v>910</v>
      </c>
      <c r="AM21" t="s">
        <v>881</v>
      </c>
    </row>
    <row r="22" spans="1:40" ht="14.85" customHeight="1">
      <c r="A22" t="s">
        <v>226</v>
      </c>
      <c r="B22" s="8" t="s">
        <v>25</v>
      </c>
      <c r="C22" s="8" t="s">
        <v>25</v>
      </c>
      <c r="D22" s="8" t="s">
        <v>25</v>
      </c>
      <c r="E22" s="8" t="s">
        <v>25</v>
      </c>
      <c r="F22" s="8" t="s">
        <v>25</v>
      </c>
      <c r="G22" s="8" t="s">
        <v>25</v>
      </c>
      <c r="H22" s="8" t="s">
        <v>25</v>
      </c>
      <c r="I22" s="8" t="s">
        <v>25</v>
      </c>
      <c r="J22" s="8" t="s">
        <v>25</v>
      </c>
      <c r="K22" s="8" t="s">
        <v>25</v>
      </c>
      <c r="L22" s="8" t="s">
        <v>25</v>
      </c>
      <c r="M22" s="5" t="s">
        <v>33</v>
      </c>
      <c r="N22" s="8" t="s">
        <v>25</v>
      </c>
      <c r="O22" s="5" t="s">
        <v>33</v>
      </c>
      <c r="P22" s="2">
        <f t="shared" si="2"/>
        <v>12</v>
      </c>
      <c r="Q22" s="1">
        <f t="shared" si="3"/>
        <v>0.8571428571428571</v>
      </c>
      <c r="R22" s="4" t="s">
        <v>26</v>
      </c>
      <c r="S22" t="s">
        <v>178</v>
      </c>
      <c r="T22" s="33" t="s">
        <v>34</v>
      </c>
      <c r="U22" s="33" t="s">
        <v>179</v>
      </c>
      <c r="V22" s="34" t="s">
        <v>180</v>
      </c>
      <c r="W22" s="34" t="s">
        <v>224</v>
      </c>
      <c r="X22" s="34" t="s">
        <v>192</v>
      </c>
      <c r="Y22" t="s">
        <v>946</v>
      </c>
      <c r="AD22" t="s">
        <v>899</v>
      </c>
      <c r="AG22" t="s">
        <v>910</v>
      </c>
      <c r="AM22" t="s">
        <v>881</v>
      </c>
    </row>
    <row r="23" spans="1:40" ht="14.85" customHeight="1">
      <c r="A23" t="s">
        <v>227</v>
      </c>
      <c r="B23" s="5" t="s">
        <v>33</v>
      </c>
      <c r="C23" s="5" t="s">
        <v>33</v>
      </c>
      <c r="D23" s="8" t="s">
        <v>25</v>
      </c>
      <c r="E23" s="5" t="s">
        <v>33</v>
      </c>
      <c r="F23" s="5" t="s">
        <v>33</v>
      </c>
      <c r="G23" s="8" t="s">
        <v>25</v>
      </c>
      <c r="H23" s="5" t="s">
        <v>33</v>
      </c>
      <c r="I23" s="5" t="s">
        <v>33</v>
      </c>
      <c r="J23" s="8" t="s">
        <v>25</v>
      </c>
      <c r="K23" s="8" t="s">
        <v>25</v>
      </c>
      <c r="L23" s="5" t="s">
        <v>33</v>
      </c>
      <c r="M23" s="5" t="s">
        <v>33</v>
      </c>
      <c r="N23" s="5" t="s">
        <v>33</v>
      </c>
      <c r="O23" s="5" t="s">
        <v>33</v>
      </c>
      <c r="P23" s="2">
        <f t="shared" si="2"/>
        <v>4</v>
      </c>
      <c r="Q23" s="1">
        <f t="shared" si="3"/>
        <v>0.2857142857142857</v>
      </c>
      <c r="R23" s="4" t="s">
        <v>26</v>
      </c>
      <c r="S23" t="s">
        <v>228</v>
      </c>
      <c r="T23" s="33" t="s">
        <v>34</v>
      </c>
      <c r="U23" s="33" t="s">
        <v>40</v>
      </c>
      <c r="V23" s="34" t="s">
        <v>205</v>
      </c>
      <c r="W23" s="34" t="s">
        <v>229</v>
      </c>
      <c r="X23" s="34" t="s">
        <v>121</v>
      </c>
      <c r="Y23" t="s">
        <v>947</v>
      </c>
      <c r="AD23" t="s">
        <v>899</v>
      </c>
      <c r="AG23" t="s">
        <v>910</v>
      </c>
      <c r="AM23" t="s">
        <v>881</v>
      </c>
    </row>
    <row r="24" spans="1:40" ht="14.85" customHeight="1">
      <c r="A24" t="s">
        <v>230</v>
      </c>
      <c r="B24" s="8" t="s">
        <v>25</v>
      </c>
      <c r="C24" s="5" t="s">
        <v>33</v>
      </c>
      <c r="D24" s="5" t="s">
        <v>33</v>
      </c>
      <c r="E24" s="5" t="s">
        <v>33</v>
      </c>
      <c r="F24" s="5" t="s">
        <v>33</v>
      </c>
      <c r="G24" s="5" t="s">
        <v>33</v>
      </c>
      <c r="H24" s="5" t="s">
        <v>33</v>
      </c>
      <c r="I24" s="5" t="s">
        <v>33</v>
      </c>
      <c r="J24" s="8" t="s">
        <v>25</v>
      </c>
      <c r="K24" s="5" t="s">
        <v>33</v>
      </c>
      <c r="L24" s="5" t="s">
        <v>33</v>
      </c>
      <c r="M24" s="5" t="s">
        <v>33</v>
      </c>
      <c r="N24" s="5" t="s">
        <v>33</v>
      </c>
      <c r="O24" s="5" t="s">
        <v>33</v>
      </c>
      <c r="P24" s="2">
        <f t="shared" si="2"/>
        <v>2</v>
      </c>
      <c r="Q24" s="1">
        <f t="shared" si="3"/>
        <v>0.14285714285714285</v>
      </c>
      <c r="R24" s="4" t="s">
        <v>26</v>
      </c>
      <c r="S24" t="s">
        <v>231</v>
      </c>
      <c r="T24" s="33" t="s">
        <v>34</v>
      </c>
      <c r="U24" s="33" t="s">
        <v>179</v>
      </c>
      <c r="V24" s="34" t="s">
        <v>180</v>
      </c>
      <c r="W24" s="34" t="s">
        <v>232</v>
      </c>
      <c r="X24" s="34" t="s">
        <v>233</v>
      </c>
      <c r="Y24" t="s">
        <v>948</v>
      </c>
      <c r="AD24" t="s">
        <v>899</v>
      </c>
      <c r="AG24" t="s">
        <v>910</v>
      </c>
      <c r="AM24" t="s">
        <v>881</v>
      </c>
    </row>
    <row r="25" spans="1:40" ht="14.85" customHeight="1">
      <c r="A25" t="s">
        <v>234</v>
      </c>
      <c r="B25" s="8" t="s">
        <v>25</v>
      </c>
      <c r="C25" s="5" t="s">
        <v>33</v>
      </c>
      <c r="D25" s="5" t="s">
        <v>33</v>
      </c>
      <c r="E25" s="5" t="s">
        <v>33</v>
      </c>
      <c r="F25" s="5" t="s">
        <v>33</v>
      </c>
      <c r="G25" s="5" t="s">
        <v>33</v>
      </c>
      <c r="H25" s="5" t="s">
        <v>33</v>
      </c>
      <c r="I25" s="5" t="s">
        <v>33</v>
      </c>
      <c r="J25" s="5" t="s">
        <v>33</v>
      </c>
      <c r="K25" s="8" t="s">
        <v>25</v>
      </c>
      <c r="L25" s="5" t="s">
        <v>33</v>
      </c>
      <c r="M25" s="5" t="s">
        <v>33</v>
      </c>
      <c r="N25" s="5" t="s">
        <v>33</v>
      </c>
      <c r="O25" s="5" t="s">
        <v>33</v>
      </c>
      <c r="P25" s="2">
        <f t="shared" si="2"/>
        <v>2</v>
      </c>
      <c r="Q25" s="1">
        <f t="shared" si="3"/>
        <v>0.14285714285714285</v>
      </c>
      <c r="R25" s="4" t="s">
        <v>26</v>
      </c>
      <c r="S25" t="s">
        <v>235</v>
      </c>
      <c r="T25" s="33" t="s">
        <v>28</v>
      </c>
      <c r="U25" s="2" t="s">
        <v>29</v>
      </c>
      <c r="V25" t="s">
        <v>236</v>
      </c>
      <c r="W25" t="s">
        <v>237</v>
      </c>
      <c r="X25" t="s">
        <v>31</v>
      </c>
      <c r="Y25" t="s">
        <v>949</v>
      </c>
      <c r="AD25" t="s">
        <v>950</v>
      </c>
      <c r="AG25" t="s">
        <v>884</v>
      </c>
      <c r="AM25" t="s">
        <v>916</v>
      </c>
      <c r="AN25" t="s">
        <v>236</v>
      </c>
    </row>
    <row r="26" spans="1:40" ht="14.85" customHeight="1">
      <c r="A26" t="s">
        <v>238</v>
      </c>
      <c r="B26" s="8" t="s">
        <v>25</v>
      </c>
      <c r="C26" s="5" t="s">
        <v>33</v>
      </c>
      <c r="D26" s="5" t="s">
        <v>33</v>
      </c>
      <c r="E26" s="5" t="s">
        <v>33</v>
      </c>
      <c r="F26" s="5" t="s">
        <v>33</v>
      </c>
      <c r="G26" s="5" t="s">
        <v>33</v>
      </c>
      <c r="H26" s="5" t="s">
        <v>33</v>
      </c>
      <c r="I26" s="5" t="s">
        <v>33</v>
      </c>
      <c r="J26" s="5" t="s">
        <v>33</v>
      </c>
      <c r="K26" s="8" t="s">
        <v>25</v>
      </c>
      <c r="L26" s="5" t="s">
        <v>33</v>
      </c>
      <c r="M26" s="5" t="s">
        <v>33</v>
      </c>
      <c r="N26" s="5" t="s">
        <v>33</v>
      </c>
      <c r="O26" s="5" t="s">
        <v>33</v>
      </c>
      <c r="P26" s="2">
        <f t="shared" si="2"/>
        <v>2</v>
      </c>
      <c r="Q26" s="1">
        <f t="shared" si="3"/>
        <v>0.14285714285714285</v>
      </c>
      <c r="R26" s="4" t="s">
        <v>26</v>
      </c>
      <c r="S26" t="s">
        <v>239</v>
      </c>
      <c r="T26" s="33" t="s">
        <v>28</v>
      </c>
      <c r="U26" s="2" t="s">
        <v>29</v>
      </c>
      <c r="V26" t="s">
        <v>236</v>
      </c>
      <c r="W26" t="s">
        <v>237</v>
      </c>
      <c r="X26" t="s">
        <v>31</v>
      </c>
      <c r="Y26" t="s">
        <v>951</v>
      </c>
      <c r="AD26" t="s">
        <v>950</v>
      </c>
      <c r="AG26" t="s">
        <v>884</v>
      </c>
      <c r="AM26" t="s">
        <v>916</v>
      </c>
      <c r="AN26" t="s">
        <v>236</v>
      </c>
    </row>
    <row r="27" spans="1:40" ht="14.85" customHeight="1">
      <c r="A27" t="s">
        <v>240</v>
      </c>
      <c r="B27" s="5" t="s">
        <v>33</v>
      </c>
      <c r="C27" s="8" t="s">
        <v>25</v>
      </c>
      <c r="D27" s="5" t="s">
        <v>33</v>
      </c>
      <c r="E27" s="5" t="s">
        <v>33</v>
      </c>
      <c r="F27" s="5" t="s">
        <v>33</v>
      </c>
      <c r="G27" s="5" t="s">
        <v>33</v>
      </c>
      <c r="H27" s="5" t="s">
        <v>33</v>
      </c>
      <c r="I27" s="5" t="s">
        <v>33</v>
      </c>
      <c r="J27" s="5" t="s">
        <v>33</v>
      </c>
      <c r="K27" s="5" t="s">
        <v>33</v>
      </c>
      <c r="L27" s="5" t="s">
        <v>33</v>
      </c>
      <c r="M27" s="5" t="s">
        <v>33</v>
      </c>
      <c r="N27" s="8" t="s">
        <v>25</v>
      </c>
      <c r="O27" s="5" t="s">
        <v>33</v>
      </c>
      <c r="P27" s="2">
        <f t="shared" si="2"/>
        <v>2</v>
      </c>
      <c r="Q27" s="1">
        <f t="shared" si="3"/>
        <v>0.14285714285714285</v>
      </c>
      <c r="R27" s="4" t="s">
        <v>26</v>
      </c>
      <c r="S27" t="s">
        <v>190</v>
      </c>
      <c r="T27" s="2" t="s">
        <v>33</v>
      </c>
      <c r="U27" s="2" t="s">
        <v>33</v>
      </c>
      <c r="Y27" t="s">
        <v>952</v>
      </c>
      <c r="AM27" t="s">
        <v>931</v>
      </c>
    </row>
    <row r="28" spans="1:40" ht="14.85" customHeight="1">
      <c r="A28" t="s">
        <v>241</v>
      </c>
      <c r="B28" s="5" t="s">
        <v>33</v>
      </c>
      <c r="C28" s="5" t="s">
        <v>33</v>
      </c>
      <c r="D28" s="8" t="s">
        <v>25</v>
      </c>
      <c r="E28" s="5" t="s">
        <v>33</v>
      </c>
      <c r="F28" s="5" t="s">
        <v>33</v>
      </c>
      <c r="G28" s="5" t="s">
        <v>33</v>
      </c>
      <c r="H28" s="5" t="s">
        <v>33</v>
      </c>
      <c r="I28" s="5" t="s">
        <v>33</v>
      </c>
      <c r="J28" s="8" t="s">
        <v>25</v>
      </c>
      <c r="K28" s="8" t="s">
        <v>25</v>
      </c>
      <c r="L28" s="5" t="s">
        <v>33</v>
      </c>
      <c r="M28" s="5" t="s">
        <v>33</v>
      </c>
      <c r="N28" s="5" t="s">
        <v>33</v>
      </c>
      <c r="O28" s="5" t="s">
        <v>33</v>
      </c>
      <c r="P28" s="2">
        <f t="shared" si="2"/>
        <v>3</v>
      </c>
      <c r="Q28" s="1">
        <f t="shared" si="3"/>
        <v>0.21428571428571427</v>
      </c>
      <c r="R28" s="4" t="s">
        <v>26</v>
      </c>
      <c r="S28" t="s">
        <v>242</v>
      </c>
      <c r="T28" s="2" t="s">
        <v>28</v>
      </c>
      <c r="U28" s="2" t="s">
        <v>40</v>
      </c>
      <c r="V28" t="s">
        <v>205</v>
      </c>
      <c r="W28" t="s">
        <v>243</v>
      </c>
      <c r="X28" t="s">
        <v>244</v>
      </c>
      <c r="Y28" t="s">
        <v>953</v>
      </c>
      <c r="AD28" t="s">
        <v>243</v>
      </c>
      <c r="AG28" t="s">
        <v>910</v>
      </c>
      <c r="AM28" t="s">
        <v>881</v>
      </c>
    </row>
    <row r="29" spans="1:40" ht="14.85" customHeight="1">
      <c r="A29" t="s">
        <v>245</v>
      </c>
      <c r="B29" s="5" t="s">
        <v>33</v>
      </c>
      <c r="C29" s="5" t="s">
        <v>33</v>
      </c>
      <c r="D29" s="8" t="s">
        <v>25</v>
      </c>
      <c r="E29" s="5" t="s">
        <v>33</v>
      </c>
      <c r="F29" s="5" t="s">
        <v>33</v>
      </c>
      <c r="G29" s="5" t="s">
        <v>33</v>
      </c>
      <c r="H29" s="5" t="s">
        <v>33</v>
      </c>
      <c r="I29" s="5" t="s">
        <v>33</v>
      </c>
      <c r="J29" s="5" t="s">
        <v>33</v>
      </c>
      <c r="K29" s="5" t="s">
        <v>33</v>
      </c>
      <c r="L29" s="5" t="s">
        <v>33</v>
      </c>
      <c r="M29" s="5" t="s">
        <v>33</v>
      </c>
      <c r="N29" s="5" t="s">
        <v>33</v>
      </c>
      <c r="O29" s="5" t="s">
        <v>33</v>
      </c>
      <c r="P29" s="2">
        <f t="shared" si="2"/>
        <v>1</v>
      </c>
      <c r="Q29" s="1">
        <f t="shared" si="3"/>
        <v>7.1428571428571425E-2</v>
      </c>
      <c r="R29" s="4" t="s">
        <v>65</v>
      </c>
      <c r="S29" t="s">
        <v>246</v>
      </c>
      <c r="T29" s="2" t="s">
        <v>28</v>
      </c>
      <c r="U29" s="2" t="s">
        <v>29</v>
      </c>
      <c r="V29" t="s">
        <v>236</v>
      </c>
      <c r="W29" t="s">
        <v>237</v>
      </c>
      <c r="X29" t="s">
        <v>31</v>
      </c>
      <c r="Y29" t="s">
        <v>954</v>
      </c>
      <c r="AA29" t="s">
        <v>895</v>
      </c>
      <c r="AD29" t="s">
        <v>950</v>
      </c>
      <c r="AG29" t="s">
        <v>884</v>
      </c>
      <c r="AM29" t="s">
        <v>916</v>
      </c>
      <c r="AN29" t="s">
        <v>236</v>
      </c>
    </row>
    <row r="30" spans="1:40" ht="14.85" customHeight="1">
      <c r="A30" t="s">
        <v>247</v>
      </c>
      <c r="B30" s="5" t="s">
        <v>33</v>
      </c>
      <c r="C30" s="5" t="s">
        <v>33</v>
      </c>
      <c r="D30" s="5" t="s">
        <v>33</v>
      </c>
      <c r="E30" s="5" t="s">
        <v>33</v>
      </c>
      <c r="F30" s="5" t="s">
        <v>33</v>
      </c>
      <c r="G30" s="5" t="s">
        <v>33</v>
      </c>
      <c r="H30" s="5" t="s">
        <v>33</v>
      </c>
      <c r="I30" s="5" t="s">
        <v>33</v>
      </c>
      <c r="J30" s="8" t="s">
        <v>25</v>
      </c>
      <c r="K30" s="5" t="s">
        <v>33</v>
      </c>
      <c r="L30" s="5" t="s">
        <v>33</v>
      </c>
      <c r="M30" s="5" t="s">
        <v>33</v>
      </c>
      <c r="N30" s="5" t="s">
        <v>33</v>
      </c>
      <c r="O30" s="5" t="s">
        <v>33</v>
      </c>
      <c r="P30" s="2">
        <f t="shared" si="2"/>
        <v>1</v>
      </c>
      <c r="Q30" s="1">
        <f t="shared" si="3"/>
        <v>7.1428571428571425E-2</v>
      </c>
      <c r="R30" s="4" t="s">
        <v>65</v>
      </c>
      <c r="S30" t="s">
        <v>248</v>
      </c>
      <c r="T30" s="2" t="s">
        <v>28</v>
      </c>
      <c r="U30" s="2" t="s">
        <v>29</v>
      </c>
      <c r="V30" t="s">
        <v>236</v>
      </c>
      <c r="W30" t="s">
        <v>237</v>
      </c>
      <c r="X30" t="s">
        <v>31</v>
      </c>
      <c r="Y30" t="s">
        <v>955</v>
      </c>
      <c r="AA30" t="s">
        <v>895</v>
      </c>
      <c r="AD30" t="s">
        <v>950</v>
      </c>
      <c r="AG30" t="s">
        <v>884</v>
      </c>
      <c r="AM30" t="s">
        <v>916</v>
      </c>
      <c r="AN30" t="s">
        <v>236</v>
      </c>
    </row>
    <row r="31" spans="1:40" ht="14.85" customHeight="1">
      <c r="A31" t="s">
        <v>249</v>
      </c>
      <c r="B31" s="5" t="s">
        <v>33</v>
      </c>
      <c r="C31" s="5" t="s">
        <v>33</v>
      </c>
      <c r="D31" s="5" t="s">
        <v>33</v>
      </c>
      <c r="E31" s="5" t="s">
        <v>33</v>
      </c>
      <c r="F31" s="5" t="s">
        <v>33</v>
      </c>
      <c r="G31" s="5" t="s">
        <v>33</v>
      </c>
      <c r="H31" s="5" t="s">
        <v>33</v>
      </c>
      <c r="I31" s="5" t="s">
        <v>33</v>
      </c>
      <c r="J31" s="8" t="s">
        <v>25</v>
      </c>
      <c r="K31" s="5" t="s">
        <v>33</v>
      </c>
      <c r="L31" s="5" t="s">
        <v>33</v>
      </c>
      <c r="M31" s="5" t="s">
        <v>33</v>
      </c>
      <c r="N31" s="5" t="s">
        <v>33</v>
      </c>
      <c r="O31" s="5" t="s">
        <v>33</v>
      </c>
      <c r="P31" s="2">
        <f t="shared" si="2"/>
        <v>1</v>
      </c>
      <c r="Q31" s="1">
        <f t="shared" si="3"/>
        <v>7.1428571428571425E-2</v>
      </c>
      <c r="R31" s="4" t="s">
        <v>26</v>
      </c>
      <c r="S31" t="s">
        <v>250</v>
      </c>
      <c r="T31" s="2" t="s">
        <v>33</v>
      </c>
      <c r="U31" s="2" t="s">
        <v>33</v>
      </c>
      <c r="Y31" t="s">
        <v>956</v>
      </c>
      <c r="AM31" t="s">
        <v>931</v>
      </c>
    </row>
    <row r="32" spans="1:40" ht="14.85" customHeight="1">
      <c r="A32" t="s">
        <v>251</v>
      </c>
      <c r="B32" s="5" t="s">
        <v>33</v>
      </c>
      <c r="C32" s="5" t="s">
        <v>33</v>
      </c>
      <c r="D32" s="5" t="s">
        <v>33</v>
      </c>
      <c r="E32" s="5" t="s">
        <v>33</v>
      </c>
      <c r="F32" s="5" t="s">
        <v>33</v>
      </c>
      <c r="G32" s="5" t="s">
        <v>33</v>
      </c>
      <c r="H32" s="5" t="s">
        <v>33</v>
      </c>
      <c r="I32" s="5" t="s">
        <v>33</v>
      </c>
      <c r="J32" s="5" t="s">
        <v>33</v>
      </c>
      <c r="K32" s="8" t="s">
        <v>25</v>
      </c>
      <c r="L32" s="5" t="s">
        <v>33</v>
      </c>
      <c r="M32" s="5" t="s">
        <v>33</v>
      </c>
      <c r="N32" s="5" t="s">
        <v>33</v>
      </c>
      <c r="O32" s="5" t="s">
        <v>33</v>
      </c>
      <c r="P32" s="2">
        <f t="shared" si="2"/>
        <v>1</v>
      </c>
      <c r="Q32" s="1">
        <f t="shared" si="3"/>
        <v>7.1428571428571425E-2</v>
      </c>
      <c r="R32" s="4" t="s">
        <v>26</v>
      </c>
      <c r="S32" t="s">
        <v>252</v>
      </c>
      <c r="T32" s="2" t="s">
        <v>34</v>
      </c>
      <c r="U32" s="8" t="s">
        <v>52</v>
      </c>
      <c r="V32" s="19" t="s">
        <v>53</v>
      </c>
      <c r="W32" t="s">
        <v>253</v>
      </c>
      <c r="X32" t="s">
        <v>43</v>
      </c>
      <c r="Y32" t="s">
        <v>957</v>
      </c>
      <c r="AD32" t="s">
        <v>886</v>
      </c>
      <c r="AG32" t="s">
        <v>884</v>
      </c>
      <c r="AM32" t="s">
        <v>881</v>
      </c>
    </row>
    <row r="33" spans="1:39" ht="14.85" customHeight="1">
      <c r="A33" t="s">
        <v>254</v>
      </c>
      <c r="B33" s="5" t="s">
        <v>33</v>
      </c>
      <c r="C33" s="5" t="s">
        <v>33</v>
      </c>
      <c r="D33" s="5" t="s">
        <v>33</v>
      </c>
      <c r="E33" s="5" t="s">
        <v>33</v>
      </c>
      <c r="F33" s="5" t="s">
        <v>33</v>
      </c>
      <c r="G33" s="5" t="s">
        <v>33</v>
      </c>
      <c r="H33" s="5" t="s">
        <v>33</v>
      </c>
      <c r="I33" s="5" t="s">
        <v>33</v>
      </c>
      <c r="J33" s="5" t="s">
        <v>33</v>
      </c>
      <c r="K33" s="5" t="s">
        <v>33</v>
      </c>
      <c r="L33" s="5" t="s">
        <v>33</v>
      </c>
      <c r="M33" s="8" t="s">
        <v>25</v>
      </c>
      <c r="N33" s="8" t="s">
        <v>25</v>
      </c>
      <c r="O33" s="5" t="s">
        <v>33</v>
      </c>
      <c r="P33" s="2">
        <f t="shared" si="2"/>
        <v>2</v>
      </c>
      <c r="Q33" s="1">
        <f t="shared" si="3"/>
        <v>0.14285714285714285</v>
      </c>
      <c r="R33" s="4" t="s">
        <v>26</v>
      </c>
      <c r="S33" t="s">
        <v>255</v>
      </c>
      <c r="T33" s="2" t="s">
        <v>34</v>
      </c>
      <c r="U33" s="2" t="s">
        <v>29</v>
      </c>
      <c r="V33" s="2" t="s">
        <v>35</v>
      </c>
      <c r="W33" s="2" t="s">
        <v>132</v>
      </c>
      <c r="X33" s="2" t="s">
        <v>133</v>
      </c>
      <c r="Y33" t="s">
        <v>958</v>
      </c>
      <c r="AD33" t="s">
        <v>883</v>
      </c>
      <c r="AG33" t="s">
        <v>884</v>
      </c>
      <c r="AM33" t="s">
        <v>881</v>
      </c>
    </row>
  </sheetData>
  <dataValidations count="7">
    <dataValidation type="list" allowBlank="1" showInputMessage="1" sqref="AA2:AA33" xr:uid="{BCAECF10-EF71-4879-ACC9-3B5043390BE9}">
      <mc:AlternateContent xmlns:x12ac="http://schemas.microsoft.com/office/spreadsheetml/2011/1/ac" xmlns:mc="http://schemas.openxmlformats.org/markup-compatibility/2006">
        <mc:Choice Requires="x12ac">
          <x12ac:list>"Mandatory,Optional,Out of scope,N/A"</x12ac:list>
        </mc:Choice>
        <mc:Fallback>
          <formula1>"Mandatory,Optional,Out of scope,N/A"</formula1>
        </mc:Fallback>
      </mc:AlternateContent>
    </dataValidation>
    <dataValidation type="list" allowBlank="1" showInputMessage="1" sqref="AD2:AD33" xr:uid="{A483712C-9BDD-453F-908E-CA3DB7A26BD7}">
      <mc:AlternateContent xmlns:x12ac="http://schemas.microsoft.com/office/spreadsheetml/2011/1/ac" xmlns:mc="http://schemas.openxmlformats.org/markup-compatibility/2006">
        <mc:Choice Requires="x12ac">
          <x12ac:list>"numeric,categorical,boolean,date,text,document,geometry,time series,reference,composite"</x12ac:list>
        </mc:Choice>
        <mc:Fallback>
          <formula1>"numeric,categorical,boolean,date,text,document,geometry,time series,reference,composite"</formula1>
        </mc:Fallback>
      </mc:AlternateContent>
    </dataValidation>
    <dataValidation type="list" allowBlank="1" showInputMessage="1" sqref="AG2:AG33" xr:uid="{563AD116-D635-44B6-A5AE-154A1EA740A1}">
      <mc:AlternateContent xmlns:x12ac="http://schemas.microsoft.com/office/spreadsheetml/2011/1/ac" xmlns:mc="http://schemas.openxmlformats.org/markup-compatibility/2006">
        <mc:Choice Requires="x12ac">
          <x12ac:list>"building,unit,zone,component,site / context,any level"</x12ac:list>
        </mc:Choice>
        <mc:Fallback>
          <formula1>"building,unit,zone,component,site / context,any level"</formula1>
        </mc:Fallback>
      </mc:AlternateContent>
    </dataValidation>
    <dataValidation type="list" allowBlank="1" showInputMessage="1" sqref="AH2:AH33" xr:uid="{55186E8B-A0C7-4006-97CE-AA5D1AE8D6E2}">
      <mc:AlternateContent xmlns:x12ac="http://schemas.microsoft.com/office/spreadsheetml/2011/1/ac" xmlns:mc="http://schemas.openxmlformats.org/markup-compatibility/2006">
        <mc:Choice Requires="x12ac">
          <x12ac:list>"static,historical,periodic,real-time"</x12ac:list>
        </mc:Choice>
        <mc:Fallback>
          <formula1>"static,historical,periodic,real-time"</formula1>
        </mc:Fallback>
      </mc:AlternateContent>
    </dataValidation>
    <dataValidation type="list" allowBlank="1" showInputMessage="1" sqref="AI2:AI33" xr:uid="{9B5B03C8-AFCE-4D17-B233-96A3B3A7132B}">
      <mc:AlternateContent xmlns:x12ac="http://schemas.microsoft.com/office/spreadsheetml/2011/1/ac" xmlns:mc="http://schemas.openxmlformats.org/markup-compatibility/2006">
        <mc:Choice Requires="x12ac">
          <x12ac:list>"Public,Restricted,Personal data (GDPR),Commercially sensitive"</x12ac:list>
        </mc:Choice>
        <mc:Fallback>
          <formula1>"Public,Restricted,Personal data (GDPR),Commercially sensitive"</formula1>
        </mc:Fallback>
      </mc:AlternateContent>
    </dataValidation>
    <dataValidation type="list" allowBlank="1" showInputMessage="1" sqref="AL2:AL33" xr:uid="{A62CEB0A-2337-4FC2-8CFD-7F267ED20BE3}">
      <mc:AlternateContent xmlns:x12ac="http://schemas.microsoft.com/office/spreadsheetml/2011/1/ac" xmlns:mc="http://schemas.openxmlformats.org/markup-compatibility/2006">
        <mc:Choice Requires="x12ac">
          <x12ac:list>"open data,API,manual input,inspection,derived"</x12ac:list>
        </mc:Choice>
        <mc:Fallback>
          <formula1>"open data,API,manual input,inspection,derived"</formula1>
        </mc:Fallback>
      </mc:AlternateContent>
    </dataValidation>
    <dataValidation type="list" allowBlank="1" showInputMessage="1" sqref="AM2:AM33" xr:uid="{D31C73CC-DF12-40F6-9F54-18B1B41E09D1}">
      <mc:AlternateContent xmlns:x12ac="http://schemas.microsoft.com/office/spreadsheetml/2011/1/ac" xmlns:mc="http://schemas.openxmlformats.org/markup-compatibility/2006">
        <mc:Choice Requires="x12ac">
          <x12ac:list>"Native,Workaround,Extension needed,Out of scope,N/A"</x12ac:list>
        </mc:Choice>
        <mc:Fallback>
          <formula1>"Native,Workaround,Extension needed,Out of scope,N/A"</formula1>
        </mc:Fallback>
      </mc:AlternateContent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N42"/>
  <sheetViews>
    <sheetView topLeftCell="A24" zoomScale="171" zoomScaleNormal="70" workbookViewId="0">
      <pane xSplit="1" topLeftCell="Q1" activePane="topRight" state="frozen"/>
      <selection activeCell="A24" sqref="A24"/>
      <selection pane="topRight" activeCell="R38" sqref="R38"/>
    </sheetView>
  </sheetViews>
  <sheetFormatPr defaultColWidth="9.140625" defaultRowHeight="15" customHeight="1"/>
  <cols>
    <col min="1" max="1" width="50.7109375" customWidth="1"/>
    <col min="2" max="18" width="13.7109375" customWidth="1"/>
    <col min="19" max="22" width="20.7109375" customWidth="1"/>
    <col min="25" max="40" width="16.7109375" customWidth="1"/>
  </cols>
  <sheetData>
    <row r="1" spans="1:40" ht="75" customHeight="1">
      <c r="A1" s="4" t="s">
        <v>256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9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67" t="s">
        <v>17</v>
      </c>
      <c r="S1" s="67" t="s">
        <v>18</v>
      </c>
      <c r="T1" s="12" t="s">
        <v>19</v>
      </c>
      <c r="U1" s="12" t="s">
        <v>20</v>
      </c>
      <c r="V1" s="3" t="s">
        <v>21</v>
      </c>
      <c r="W1" s="3" t="s">
        <v>22</v>
      </c>
      <c r="X1" s="3" t="s">
        <v>23</v>
      </c>
      <c r="Y1" s="3" t="s">
        <v>862</v>
      </c>
      <c r="Z1" s="3" t="s">
        <v>863</v>
      </c>
      <c r="AA1" s="3" t="s">
        <v>864</v>
      </c>
      <c r="AB1" s="3" t="s">
        <v>865</v>
      </c>
      <c r="AC1" s="3" t="s">
        <v>866</v>
      </c>
      <c r="AD1" s="3" t="s">
        <v>867</v>
      </c>
      <c r="AE1" s="3" t="s">
        <v>868</v>
      </c>
      <c r="AF1" s="3" t="s">
        <v>869</v>
      </c>
      <c r="AG1" s="3" t="s">
        <v>870</v>
      </c>
      <c r="AH1" s="3" t="s">
        <v>871</v>
      </c>
      <c r="AI1" s="3" t="s">
        <v>872</v>
      </c>
      <c r="AJ1" s="3" t="s">
        <v>873</v>
      </c>
      <c r="AK1" s="3" t="s">
        <v>874</v>
      </c>
      <c r="AL1" s="3" t="s">
        <v>875</v>
      </c>
      <c r="AM1" s="3" t="s">
        <v>876</v>
      </c>
      <c r="AN1" s="3" t="s">
        <v>877</v>
      </c>
    </row>
    <row r="2" spans="1:40" ht="14.85" customHeight="1">
      <c r="A2" s="14" t="s">
        <v>257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2"/>
      <c r="Q2" s="17"/>
      <c r="R2" s="65"/>
      <c r="S2" s="66"/>
      <c r="T2" s="32"/>
      <c r="U2" s="31"/>
      <c r="V2" s="31"/>
      <c r="W2" s="31"/>
      <c r="X2" s="31"/>
    </row>
    <row r="3" spans="1:40" ht="14.85" customHeight="1">
      <c r="A3" t="s">
        <v>258</v>
      </c>
      <c r="B3" s="8" t="s">
        <v>25</v>
      </c>
      <c r="C3" s="5" t="s">
        <v>33</v>
      </c>
      <c r="D3" s="8" t="s">
        <v>25</v>
      </c>
      <c r="E3" s="5" t="s">
        <v>33</v>
      </c>
      <c r="F3" s="5" t="s">
        <v>33</v>
      </c>
      <c r="G3" s="8" t="s">
        <v>25</v>
      </c>
      <c r="H3" s="5" t="s">
        <v>33</v>
      </c>
      <c r="I3" s="5" t="s">
        <v>33</v>
      </c>
      <c r="J3" s="8" t="s">
        <v>25</v>
      </c>
      <c r="K3" s="8" t="s">
        <v>25</v>
      </c>
      <c r="L3" s="8" t="s">
        <v>25</v>
      </c>
      <c r="M3" s="5" t="s">
        <v>33</v>
      </c>
      <c r="N3" s="8" t="s">
        <v>25</v>
      </c>
      <c r="O3" s="5" t="s">
        <v>33</v>
      </c>
      <c r="P3" s="2">
        <f>COUNTIF(B3:O3,"✔")</f>
        <v>7</v>
      </c>
      <c r="Q3" s="1">
        <f>P3/14</f>
        <v>0.5</v>
      </c>
      <c r="R3" s="4" t="s">
        <v>26</v>
      </c>
      <c r="S3" t="s">
        <v>259</v>
      </c>
      <c r="T3" s="2" t="s">
        <v>34</v>
      </c>
      <c r="U3" t="s">
        <v>136</v>
      </c>
      <c r="V3" t="s">
        <v>119</v>
      </c>
      <c r="W3" t="s">
        <v>120</v>
      </c>
      <c r="X3" t="s">
        <v>121</v>
      </c>
      <c r="Y3" t="s">
        <v>959</v>
      </c>
      <c r="AD3" t="s">
        <v>899</v>
      </c>
      <c r="AG3" t="s">
        <v>910</v>
      </c>
      <c r="AM3" t="s">
        <v>881</v>
      </c>
    </row>
    <row r="4" spans="1:40" ht="14.85" customHeight="1">
      <c r="B4" s="8"/>
      <c r="C4" s="5"/>
      <c r="D4" s="8"/>
      <c r="E4" s="5"/>
      <c r="F4" s="5"/>
      <c r="G4" s="8"/>
      <c r="H4" s="5"/>
      <c r="I4" s="5"/>
      <c r="J4" s="8"/>
      <c r="K4" s="8"/>
      <c r="L4" s="8"/>
      <c r="M4" s="5"/>
      <c r="N4" s="8"/>
      <c r="O4" s="8"/>
      <c r="P4" s="2"/>
      <c r="Q4" s="1"/>
      <c r="R4" s="4"/>
      <c r="T4" s="2" t="s">
        <v>34</v>
      </c>
      <c r="U4" t="s">
        <v>136</v>
      </c>
      <c r="V4" t="s">
        <v>119</v>
      </c>
      <c r="W4" t="s">
        <v>260</v>
      </c>
      <c r="X4" t="s">
        <v>121</v>
      </c>
    </row>
    <row r="5" spans="1:40" ht="14.85" customHeight="1">
      <c r="A5" t="s">
        <v>261</v>
      </c>
      <c r="B5" s="8" t="s">
        <v>25</v>
      </c>
      <c r="C5" s="8" t="s">
        <v>25</v>
      </c>
      <c r="D5" s="8" t="s">
        <v>25</v>
      </c>
      <c r="E5" s="5" t="s">
        <v>33</v>
      </c>
      <c r="F5" s="8" t="s">
        <v>25</v>
      </c>
      <c r="G5" s="8" t="s">
        <v>25</v>
      </c>
      <c r="H5" s="8" t="s">
        <v>25</v>
      </c>
      <c r="I5" s="8" t="s">
        <v>25</v>
      </c>
      <c r="J5" s="8" t="s">
        <v>25</v>
      </c>
      <c r="K5" s="8" t="s">
        <v>25</v>
      </c>
      <c r="L5" s="8" t="s">
        <v>25</v>
      </c>
      <c r="M5" s="5" t="s">
        <v>33</v>
      </c>
      <c r="N5" s="8" t="s">
        <v>25</v>
      </c>
      <c r="O5" s="5" t="s">
        <v>33</v>
      </c>
      <c r="P5" s="2">
        <f t="shared" ref="P5:P10" si="0">COUNTIF(B5:O5,"✔")</f>
        <v>11</v>
      </c>
      <c r="Q5" s="1">
        <f t="shared" ref="Q5:Q10" si="1">P5/14</f>
        <v>0.7857142857142857</v>
      </c>
      <c r="R5" s="4" t="s">
        <v>26</v>
      </c>
      <c r="S5" t="s">
        <v>178</v>
      </c>
      <c r="T5" s="2" t="s">
        <v>34</v>
      </c>
      <c r="U5" t="s">
        <v>262</v>
      </c>
      <c r="V5" t="s">
        <v>180</v>
      </c>
      <c r="W5" t="s">
        <v>224</v>
      </c>
      <c r="X5" t="s">
        <v>192</v>
      </c>
      <c r="Y5" t="s">
        <v>960</v>
      </c>
      <c r="AD5" t="s">
        <v>899</v>
      </c>
      <c r="AG5" t="s">
        <v>910</v>
      </c>
      <c r="AM5" t="s">
        <v>881</v>
      </c>
    </row>
    <row r="6" spans="1:40" ht="14.85" customHeight="1">
      <c r="A6" t="s">
        <v>263</v>
      </c>
      <c r="B6" s="8" t="s">
        <v>25</v>
      </c>
      <c r="C6" s="8" t="s">
        <v>25</v>
      </c>
      <c r="D6" s="8" t="s">
        <v>25</v>
      </c>
      <c r="E6" s="5" t="s">
        <v>33</v>
      </c>
      <c r="F6" s="8" t="s">
        <v>25</v>
      </c>
      <c r="G6" s="8" t="s">
        <v>25</v>
      </c>
      <c r="H6" s="8" t="s">
        <v>25</v>
      </c>
      <c r="I6" s="8" t="s">
        <v>25</v>
      </c>
      <c r="J6" s="8" t="s">
        <v>25</v>
      </c>
      <c r="K6" s="8" t="s">
        <v>25</v>
      </c>
      <c r="L6" s="8" t="s">
        <v>25</v>
      </c>
      <c r="M6" s="5" t="s">
        <v>33</v>
      </c>
      <c r="N6" s="8" t="s">
        <v>25</v>
      </c>
      <c r="O6" s="5" t="s">
        <v>33</v>
      </c>
      <c r="P6" s="2">
        <f t="shared" si="0"/>
        <v>11</v>
      </c>
      <c r="Q6" s="1">
        <f t="shared" si="1"/>
        <v>0.7857142857142857</v>
      </c>
      <c r="R6" s="4" t="s">
        <v>26</v>
      </c>
      <c r="S6" t="s">
        <v>178</v>
      </c>
      <c r="T6" s="2" t="s">
        <v>34</v>
      </c>
      <c r="U6" t="s">
        <v>262</v>
      </c>
      <c r="V6" t="s">
        <v>180</v>
      </c>
      <c r="W6" t="s">
        <v>224</v>
      </c>
      <c r="X6" t="s">
        <v>192</v>
      </c>
      <c r="Y6" t="s">
        <v>961</v>
      </c>
      <c r="AD6" t="s">
        <v>899</v>
      </c>
      <c r="AG6" t="s">
        <v>910</v>
      </c>
      <c r="AM6" t="s">
        <v>881</v>
      </c>
    </row>
    <row r="7" spans="1:40" ht="14.85" customHeight="1">
      <c r="A7" t="s">
        <v>264</v>
      </c>
      <c r="B7" s="8" t="s">
        <v>25</v>
      </c>
      <c r="C7" s="8" t="s">
        <v>25</v>
      </c>
      <c r="D7" s="8" t="s">
        <v>25</v>
      </c>
      <c r="E7" s="5" t="s">
        <v>33</v>
      </c>
      <c r="F7" s="8" t="s">
        <v>25</v>
      </c>
      <c r="G7" s="8" t="s">
        <v>25</v>
      </c>
      <c r="H7" s="8" t="s">
        <v>25</v>
      </c>
      <c r="I7" s="8" t="s">
        <v>25</v>
      </c>
      <c r="J7" s="8" t="s">
        <v>25</v>
      </c>
      <c r="K7" s="8" t="s">
        <v>25</v>
      </c>
      <c r="L7" s="8" t="s">
        <v>25</v>
      </c>
      <c r="M7" s="5" t="s">
        <v>33</v>
      </c>
      <c r="N7" s="8" t="s">
        <v>25</v>
      </c>
      <c r="O7" s="5" t="s">
        <v>33</v>
      </c>
      <c r="P7" s="2">
        <f t="shared" si="0"/>
        <v>11</v>
      </c>
      <c r="Q7" s="1">
        <f t="shared" si="1"/>
        <v>0.7857142857142857</v>
      </c>
      <c r="R7" s="4" t="s">
        <v>26</v>
      </c>
      <c r="S7" t="s">
        <v>178</v>
      </c>
      <c r="T7" s="2" t="s">
        <v>34</v>
      </c>
      <c r="U7" t="s">
        <v>262</v>
      </c>
      <c r="V7" t="s">
        <v>180</v>
      </c>
      <c r="W7" t="s">
        <v>224</v>
      </c>
      <c r="X7" t="s">
        <v>192</v>
      </c>
      <c r="Y7" t="s">
        <v>962</v>
      </c>
      <c r="AD7" t="s">
        <v>899</v>
      </c>
      <c r="AG7" t="s">
        <v>910</v>
      </c>
      <c r="AM7" t="s">
        <v>881</v>
      </c>
    </row>
    <row r="8" spans="1:40" ht="14.85" customHeight="1">
      <c r="A8" t="s">
        <v>265</v>
      </c>
      <c r="B8" s="8" t="s">
        <v>25</v>
      </c>
      <c r="C8" s="5" t="s">
        <v>33</v>
      </c>
      <c r="D8" s="8" t="s">
        <v>25</v>
      </c>
      <c r="E8" s="5" t="s">
        <v>33</v>
      </c>
      <c r="F8" s="5" t="s">
        <v>33</v>
      </c>
      <c r="G8" s="8" t="s">
        <v>25</v>
      </c>
      <c r="H8" s="5" t="s">
        <v>33</v>
      </c>
      <c r="I8" s="5" t="s">
        <v>33</v>
      </c>
      <c r="J8" s="8" t="s">
        <v>25</v>
      </c>
      <c r="K8" s="8" t="s">
        <v>25</v>
      </c>
      <c r="L8" s="8" t="s">
        <v>25</v>
      </c>
      <c r="M8" s="5" t="s">
        <v>33</v>
      </c>
      <c r="N8" s="8" t="s">
        <v>25</v>
      </c>
      <c r="O8" s="5" t="s">
        <v>33</v>
      </c>
      <c r="P8" s="2">
        <f t="shared" si="0"/>
        <v>7</v>
      </c>
      <c r="Q8" s="1">
        <f t="shared" si="1"/>
        <v>0.5</v>
      </c>
      <c r="R8" s="4" t="s">
        <v>26</v>
      </c>
      <c r="S8" t="s">
        <v>178</v>
      </c>
      <c r="T8" s="2" t="s">
        <v>34</v>
      </c>
      <c r="U8" t="s">
        <v>136</v>
      </c>
      <c r="V8" t="s">
        <v>119</v>
      </c>
      <c r="W8" t="s">
        <v>266</v>
      </c>
      <c r="X8" t="s">
        <v>207</v>
      </c>
      <c r="Y8" t="s">
        <v>963</v>
      </c>
      <c r="AD8" t="s">
        <v>899</v>
      </c>
      <c r="AG8" t="s">
        <v>910</v>
      </c>
      <c r="AM8" t="s">
        <v>881</v>
      </c>
    </row>
    <row r="9" spans="1:40" ht="14.85" customHeight="1">
      <c r="A9" t="s">
        <v>267</v>
      </c>
      <c r="B9" s="8" t="s">
        <v>25</v>
      </c>
      <c r="C9" s="5" t="s">
        <v>33</v>
      </c>
      <c r="D9" s="8" t="s">
        <v>25</v>
      </c>
      <c r="E9" s="5" t="s">
        <v>33</v>
      </c>
      <c r="F9" s="5" t="s">
        <v>33</v>
      </c>
      <c r="G9" s="8" t="s">
        <v>25</v>
      </c>
      <c r="H9" s="5" t="s">
        <v>33</v>
      </c>
      <c r="I9" s="5" t="s">
        <v>33</v>
      </c>
      <c r="J9" s="8" t="s">
        <v>25</v>
      </c>
      <c r="K9" s="8" t="s">
        <v>25</v>
      </c>
      <c r="L9" s="5" t="s">
        <v>33</v>
      </c>
      <c r="M9" s="5" t="s">
        <v>33</v>
      </c>
      <c r="N9" s="5" t="s">
        <v>33</v>
      </c>
      <c r="O9" s="5" t="s">
        <v>33</v>
      </c>
      <c r="P9" s="2">
        <f t="shared" si="0"/>
        <v>5</v>
      </c>
      <c r="Q9" s="1">
        <f t="shared" si="1"/>
        <v>0.35714285714285715</v>
      </c>
      <c r="R9" s="4" t="s">
        <v>26</v>
      </c>
      <c r="S9" t="s">
        <v>268</v>
      </c>
      <c r="T9" s="2" t="s">
        <v>34</v>
      </c>
      <c r="U9" t="s">
        <v>262</v>
      </c>
      <c r="V9" t="s">
        <v>269</v>
      </c>
      <c r="W9" t="s">
        <v>31</v>
      </c>
      <c r="X9" t="s">
        <v>31</v>
      </c>
      <c r="Y9" t="s">
        <v>964</v>
      </c>
      <c r="AD9" t="s">
        <v>879</v>
      </c>
      <c r="AG9" t="s">
        <v>910</v>
      </c>
      <c r="AM9" t="s">
        <v>881</v>
      </c>
    </row>
    <row r="10" spans="1:40" ht="14.85" customHeight="1">
      <c r="A10" t="s">
        <v>270</v>
      </c>
      <c r="B10" s="8" t="s">
        <v>25</v>
      </c>
      <c r="C10" s="8" t="s">
        <v>25</v>
      </c>
      <c r="D10" s="8" t="s">
        <v>25</v>
      </c>
      <c r="E10" s="8" t="s">
        <v>25</v>
      </c>
      <c r="F10" s="8" t="s">
        <v>25</v>
      </c>
      <c r="G10" s="5" t="s">
        <v>33</v>
      </c>
      <c r="H10" s="8" t="s">
        <v>25</v>
      </c>
      <c r="I10" s="5" t="s">
        <v>33</v>
      </c>
      <c r="J10" s="8" t="s">
        <v>25</v>
      </c>
      <c r="K10" s="8" t="s">
        <v>25</v>
      </c>
      <c r="L10" s="8" t="s">
        <v>25</v>
      </c>
      <c r="M10" s="5" t="s">
        <v>33</v>
      </c>
      <c r="N10" s="8" t="s">
        <v>25</v>
      </c>
      <c r="O10" s="5" t="s">
        <v>33</v>
      </c>
      <c r="P10" s="2">
        <f t="shared" si="0"/>
        <v>10</v>
      </c>
      <c r="Q10" s="1">
        <f t="shared" si="1"/>
        <v>0.7142857142857143</v>
      </c>
      <c r="R10" s="4" t="s">
        <v>26</v>
      </c>
      <c r="S10" t="s">
        <v>81</v>
      </c>
      <c r="T10" s="2" t="s">
        <v>34</v>
      </c>
      <c r="U10" t="s">
        <v>29</v>
      </c>
      <c r="V10" t="s">
        <v>82</v>
      </c>
      <c r="W10" t="s">
        <v>83</v>
      </c>
      <c r="X10" t="s">
        <v>62</v>
      </c>
      <c r="Y10" t="s">
        <v>965</v>
      </c>
      <c r="AD10" t="s">
        <v>893</v>
      </c>
      <c r="AG10" t="s">
        <v>884</v>
      </c>
      <c r="AH10" t="s">
        <v>901</v>
      </c>
      <c r="AM10" t="s">
        <v>881</v>
      </c>
    </row>
    <row r="11" spans="1:40" ht="14.85" customHeight="1">
      <c r="B11" s="8"/>
      <c r="C11" s="8"/>
      <c r="D11" s="8"/>
      <c r="E11" s="8"/>
      <c r="F11" s="8"/>
      <c r="G11" s="5"/>
      <c r="H11" s="8"/>
      <c r="I11" s="5"/>
      <c r="J11" s="8"/>
      <c r="K11" s="8"/>
      <c r="L11" s="8"/>
      <c r="M11" s="5"/>
      <c r="N11" s="8"/>
      <c r="O11" s="8"/>
      <c r="P11" s="2"/>
      <c r="Q11" s="1"/>
      <c r="R11" s="4"/>
      <c r="T11" s="2" t="s">
        <v>34</v>
      </c>
      <c r="U11" t="s">
        <v>29</v>
      </c>
      <c r="V11" t="s">
        <v>82</v>
      </c>
      <c r="W11" t="s">
        <v>84</v>
      </c>
      <c r="X11" t="s">
        <v>62</v>
      </c>
    </row>
    <row r="12" spans="1:40" ht="14.85" customHeight="1">
      <c r="A12" s="14" t="s">
        <v>271</v>
      </c>
      <c r="B12" s="15"/>
      <c r="C12" s="15"/>
      <c r="D12" s="15"/>
      <c r="E12" s="15"/>
      <c r="F12" s="15"/>
      <c r="G12" s="38"/>
      <c r="H12" s="15"/>
      <c r="I12" s="15"/>
      <c r="J12" s="15"/>
      <c r="K12" s="15"/>
      <c r="L12" s="15"/>
      <c r="M12" s="37"/>
      <c r="N12" s="15"/>
      <c r="O12" s="15"/>
      <c r="P12" s="32"/>
      <c r="Q12" s="17"/>
      <c r="R12" s="65"/>
      <c r="S12" s="66"/>
      <c r="T12" s="32"/>
      <c r="U12" s="31"/>
      <c r="V12" s="31"/>
      <c r="W12" s="31"/>
      <c r="X12" s="31"/>
    </row>
    <row r="13" spans="1:40" ht="14.85" customHeight="1">
      <c r="A13" t="s">
        <v>272</v>
      </c>
      <c r="B13" s="9" t="s">
        <v>25</v>
      </c>
      <c r="C13" s="5" t="s">
        <v>33</v>
      </c>
      <c r="D13" s="8" t="s">
        <v>25</v>
      </c>
      <c r="E13" s="5" t="s">
        <v>33</v>
      </c>
      <c r="F13" s="5" t="s">
        <v>33</v>
      </c>
      <c r="G13" s="8" t="s">
        <v>25</v>
      </c>
      <c r="H13" s="5" t="s">
        <v>33</v>
      </c>
      <c r="I13" s="8" t="s">
        <v>25</v>
      </c>
      <c r="J13" s="8" t="s">
        <v>25</v>
      </c>
      <c r="K13" s="5" t="s">
        <v>33</v>
      </c>
      <c r="L13" s="5" t="s">
        <v>33</v>
      </c>
      <c r="M13" s="5" t="s">
        <v>33</v>
      </c>
      <c r="N13" s="5" t="s">
        <v>33</v>
      </c>
      <c r="O13" s="5" t="s">
        <v>33</v>
      </c>
      <c r="P13" s="2">
        <f>COUNTIF(B13:O13,"✔")</f>
        <v>5</v>
      </c>
      <c r="Q13" s="1">
        <f>P13/14</f>
        <v>0.35714285714285715</v>
      </c>
      <c r="R13" s="4" t="s">
        <v>26</v>
      </c>
      <c r="S13" t="s">
        <v>178</v>
      </c>
      <c r="T13" s="2" t="s">
        <v>34</v>
      </c>
      <c r="U13" t="s">
        <v>262</v>
      </c>
      <c r="V13" t="s">
        <v>221</v>
      </c>
      <c r="W13" t="s">
        <v>85</v>
      </c>
      <c r="X13" t="s">
        <v>222</v>
      </c>
      <c r="Y13" t="s">
        <v>966</v>
      </c>
      <c r="AD13" t="s">
        <v>883</v>
      </c>
      <c r="AG13" t="s">
        <v>910</v>
      </c>
      <c r="AM13" t="s">
        <v>881</v>
      </c>
    </row>
    <row r="14" spans="1:40" ht="14.85" customHeight="1">
      <c r="B14" s="9"/>
      <c r="C14" s="5"/>
      <c r="D14" s="8"/>
      <c r="E14" s="5"/>
      <c r="F14" s="5"/>
      <c r="G14" s="8"/>
      <c r="H14" s="5"/>
      <c r="I14" s="8"/>
      <c r="J14" s="8"/>
      <c r="K14" s="5"/>
      <c r="L14" s="5"/>
      <c r="M14" s="5"/>
      <c r="N14" s="5"/>
      <c r="O14" s="5"/>
      <c r="P14" s="2"/>
      <c r="Q14" s="1"/>
      <c r="R14" s="4"/>
      <c r="T14" s="2" t="s">
        <v>34</v>
      </c>
      <c r="U14" t="s">
        <v>262</v>
      </c>
      <c r="V14" t="s">
        <v>273</v>
      </c>
      <c r="W14" t="s">
        <v>85</v>
      </c>
      <c r="X14" t="s">
        <v>274</v>
      </c>
    </row>
    <row r="15" spans="1:40" ht="14.85" customHeight="1">
      <c r="B15" s="9"/>
      <c r="C15" s="5"/>
      <c r="D15" s="8"/>
      <c r="E15" s="5"/>
      <c r="F15" s="5"/>
      <c r="G15" s="8"/>
      <c r="H15" s="5"/>
      <c r="I15" s="8"/>
      <c r="J15" s="8"/>
      <c r="K15" s="5"/>
      <c r="L15" s="5"/>
      <c r="M15" s="5"/>
      <c r="N15" s="5"/>
      <c r="O15" s="5"/>
      <c r="P15" s="2"/>
      <c r="Q15" s="1"/>
      <c r="R15" s="4"/>
      <c r="T15" s="2" t="s">
        <v>34</v>
      </c>
      <c r="U15" t="s">
        <v>262</v>
      </c>
      <c r="V15" t="s">
        <v>275</v>
      </c>
      <c r="W15" t="s">
        <v>85</v>
      </c>
      <c r="X15" t="s">
        <v>276</v>
      </c>
    </row>
    <row r="16" spans="1:40" ht="14.85" customHeight="1">
      <c r="A16" t="s">
        <v>277</v>
      </c>
      <c r="B16" s="8" t="s">
        <v>25</v>
      </c>
      <c r="C16" s="8" t="s">
        <v>25</v>
      </c>
      <c r="D16" s="5" t="s">
        <v>33</v>
      </c>
      <c r="E16" s="5" t="s">
        <v>33</v>
      </c>
      <c r="F16" s="5" t="s">
        <v>33</v>
      </c>
      <c r="G16" s="8" t="s">
        <v>25</v>
      </c>
      <c r="H16" s="5" t="s">
        <v>33</v>
      </c>
      <c r="I16" s="5" t="s">
        <v>33</v>
      </c>
      <c r="J16" s="8" t="s">
        <v>25</v>
      </c>
      <c r="K16" s="8" t="s">
        <v>25</v>
      </c>
      <c r="L16" s="5" t="s">
        <v>33</v>
      </c>
      <c r="M16" s="5" t="s">
        <v>33</v>
      </c>
      <c r="N16" s="5" t="s">
        <v>33</v>
      </c>
      <c r="O16" s="8" t="s">
        <v>25</v>
      </c>
      <c r="P16" s="2">
        <f>COUNTIF(B16:O16,"✔")</f>
        <v>6</v>
      </c>
      <c r="Q16" s="1">
        <f>P16/14</f>
        <v>0.42857142857142855</v>
      </c>
      <c r="R16" s="4" t="s">
        <v>26</v>
      </c>
      <c r="S16" t="s">
        <v>278</v>
      </c>
      <c r="T16" s="2" t="s">
        <v>34</v>
      </c>
      <c r="U16" t="s">
        <v>262</v>
      </c>
      <c r="V16" t="s">
        <v>269</v>
      </c>
      <c r="W16" t="s">
        <v>279</v>
      </c>
      <c r="X16" t="s">
        <v>280</v>
      </c>
      <c r="Y16" t="s">
        <v>967</v>
      </c>
      <c r="AD16" t="s">
        <v>899</v>
      </c>
      <c r="AG16" t="s">
        <v>910</v>
      </c>
      <c r="AM16" t="s">
        <v>881</v>
      </c>
    </row>
    <row r="17" spans="1:40" ht="14.85" customHeight="1">
      <c r="A17" t="s">
        <v>281</v>
      </c>
      <c r="B17" s="8" t="s">
        <v>25</v>
      </c>
      <c r="C17" s="5" t="s">
        <v>33</v>
      </c>
      <c r="D17" s="5" t="s">
        <v>33</v>
      </c>
      <c r="E17" s="5" t="s">
        <v>33</v>
      </c>
      <c r="F17" s="5" t="s">
        <v>33</v>
      </c>
      <c r="G17" s="5" t="s">
        <v>33</v>
      </c>
      <c r="H17" s="5" t="s">
        <v>33</v>
      </c>
      <c r="I17" s="5" t="s">
        <v>33</v>
      </c>
      <c r="J17" s="8" t="s">
        <v>25</v>
      </c>
      <c r="K17" s="5" t="s">
        <v>33</v>
      </c>
      <c r="L17" s="5" t="s">
        <v>33</v>
      </c>
      <c r="M17" s="5" t="s">
        <v>33</v>
      </c>
      <c r="N17" s="5" t="s">
        <v>33</v>
      </c>
      <c r="O17" s="5" t="s">
        <v>33</v>
      </c>
      <c r="P17" s="2">
        <f>COUNTIF(B17:O17,"✔")</f>
        <v>2</v>
      </c>
      <c r="Q17" s="1">
        <f>P17/14</f>
        <v>0.14285714285714285</v>
      </c>
      <c r="R17" s="4" t="s">
        <v>26</v>
      </c>
      <c r="S17" t="s">
        <v>278</v>
      </c>
      <c r="T17" s="2" t="s">
        <v>34</v>
      </c>
      <c r="U17" t="s">
        <v>262</v>
      </c>
      <c r="V17" t="s">
        <v>221</v>
      </c>
      <c r="W17" t="s">
        <v>282</v>
      </c>
      <c r="X17" t="s">
        <v>192</v>
      </c>
      <c r="Y17" t="s">
        <v>968</v>
      </c>
      <c r="AD17" t="s">
        <v>899</v>
      </c>
      <c r="AG17" t="s">
        <v>910</v>
      </c>
      <c r="AM17" t="s">
        <v>881</v>
      </c>
    </row>
    <row r="18" spans="1:40" ht="14.85" customHeight="1">
      <c r="A18" t="s">
        <v>283</v>
      </c>
      <c r="B18" s="8" t="s">
        <v>25</v>
      </c>
      <c r="C18" s="5" t="s">
        <v>33</v>
      </c>
      <c r="D18" s="8" t="s">
        <v>25</v>
      </c>
      <c r="E18" s="5" t="s">
        <v>33</v>
      </c>
      <c r="F18" s="5" t="s">
        <v>33</v>
      </c>
      <c r="G18" s="8" t="s">
        <v>25</v>
      </c>
      <c r="H18" s="5" t="s">
        <v>33</v>
      </c>
      <c r="I18" s="8" t="s">
        <v>25</v>
      </c>
      <c r="J18" s="5" t="s">
        <v>33</v>
      </c>
      <c r="K18" s="5" t="s">
        <v>33</v>
      </c>
      <c r="L18" s="5" t="s">
        <v>33</v>
      </c>
      <c r="M18" s="5" t="s">
        <v>33</v>
      </c>
      <c r="N18" s="5" t="s">
        <v>33</v>
      </c>
      <c r="O18" s="5" t="s">
        <v>33</v>
      </c>
      <c r="P18" s="2">
        <f>COUNTIF(B18:O18,"✔")</f>
        <v>4</v>
      </c>
      <c r="Q18" s="1">
        <f>P18/14</f>
        <v>0.2857142857142857</v>
      </c>
      <c r="R18" s="4" t="s">
        <v>26</v>
      </c>
      <c r="S18" t="s">
        <v>284</v>
      </c>
      <c r="T18" s="2" t="s">
        <v>34</v>
      </c>
      <c r="U18" t="s">
        <v>262</v>
      </c>
      <c r="V18" t="s">
        <v>221</v>
      </c>
      <c r="W18" t="s">
        <v>285</v>
      </c>
      <c r="X18" t="s">
        <v>192</v>
      </c>
      <c r="Y18" t="s">
        <v>969</v>
      </c>
      <c r="AD18" t="s">
        <v>899</v>
      </c>
      <c r="AG18" t="s">
        <v>910</v>
      </c>
      <c r="AM18" t="s">
        <v>881</v>
      </c>
    </row>
    <row r="19" spans="1:40" ht="14.85" customHeight="1">
      <c r="B19" s="8"/>
      <c r="C19" s="5"/>
      <c r="D19" s="8"/>
      <c r="E19" s="5"/>
      <c r="F19" s="5"/>
      <c r="G19" s="8"/>
      <c r="H19" s="5"/>
      <c r="I19" s="8"/>
      <c r="J19" s="5"/>
      <c r="K19" s="5"/>
      <c r="L19" s="5"/>
      <c r="M19" s="5"/>
      <c r="N19" s="5"/>
      <c r="O19" s="5"/>
      <c r="P19" s="2"/>
      <c r="Q19" s="1"/>
      <c r="R19" s="4"/>
      <c r="T19" s="2" t="s">
        <v>28</v>
      </c>
      <c r="U19" s="19" t="s">
        <v>40</v>
      </c>
      <c r="V19" t="s">
        <v>119</v>
      </c>
      <c r="W19" t="s">
        <v>243</v>
      </c>
      <c r="X19" t="s">
        <v>244</v>
      </c>
    </row>
    <row r="20" spans="1:40" ht="14.85" customHeight="1">
      <c r="B20" s="8"/>
      <c r="C20" s="5"/>
      <c r="D20" s="8"/>
      <c r="E20" s="5"/>
      <c r="F20" s="5"/>
      <c r="G20" s="8"/>
      <c r="H20" s="5"/>
      <c r="I20" s="8"/>
      <c r="J20" s="5"/>
      <c r="K20" s="5"/>
      <c r="L20" s="5"/>
      <c r="M20" s="5"/>
      <c r="N20" s="5"/>
      <c r="O20" s="5"/>
      <c r="P20" s="2"/>
      <c r="Q20" s="1"/>
      <c r="R20" s="4"/>
      <c r="T20" s="2" t="s">
        <v>34</v>
      </c>
      <c r="U20" t="s">
        <v>262</v>
      </c>
      <c r="V20" t="s">
        <v>269</v>
      </c>
      <c r="W20" t="s">
        <v>279</v>
      </c>
      <c r="X20" t="s">
        <v>280</v>
      </c>
    </row>
    <row r="21" spans="1:40" ht="14.85" customHeight="1">
      <c r="A21" t="s">
        <v>286</v>
      </c>
      <c r="B21" s="8" t="s">
        <v>25</v>
      </c>
      <c r="C21" s="5" t="s">
        <v>33</v>
      </c>
      <c r="D21" s="8" t="s">
        <v>25</v>
      </c>
      <c r="E21" s="5" t="s">
        <v>33</v>
      </c>
      <c r="F21" s="5" t="s">
        <v>33</v>
      </c>
      <c r="G21" s="8" t="s">
        <v>25</v>
      </c>
      <c r="H21" s="5" t="s">
        <v>33</v>
      </c>
      <c r="I21" s="8" t="s">
        <v>25</v>
      </c>
      <c r="J21" s="5" t="s">
        <v>33</v>
      </c>
      <c r="K21" s="5" t="s">
        <v>33</v>
      </c>
      <c r="L21" s="5" t="s">
        <v>33</v>
      </c>
      <c r="M21" s="5" t="s">
        <v>33</v>
      </c>
      <c r="N21" s="5" t="s">
        <v>33</v>
      </c>
      <c r="O21" s="5" t="s">
        <v>33</v>
      </c>
      <c r="P21" s="2">
        <f>COUNTIF(B21:O21,"✔")</f>
        <v>4</v>
      </c>
      <c r="Q21" s="1">
        <f>P21/14</f>
        <v>0.2857142857142857</v>
      </c>
      <c r="R21" s="4" t="s">
        <v>65</v>
      </c>
      <c r="S21" t="s">
        <v>287</v>
      </c>
      <c r="T21" s="2" t="s">
        <v>28</v>
      </c>
      <c r="U21" s="19" t="s">
        <v>40</v>
      </c>
      <c r="V21" t="s">
        <v>119</v>
      </c>
      <c r="W21" t="s">
        <v>243</v>
      </c>
      <c r="X21" t="s">
        <v>244</v>
      </c>
      <c r="Y21" t="s">
        <v>970</v>
      </c>
      <c r="AA21" t="s">
        <v>895</v>
      </c>
      <c r="AD21" t="s">
        <v>243</v>
      </c>
      <c r="AG21" t="s">
        <v>910</v>
      </c>
      <c r="AM21" t="s">
        <v>881</v>
      </c>
    </row>
    <row r="22" spans="1:40" ht="14.85" customHeight="1">
      <c r="B22" s="8"/>
      <c r="C22" s="5"/>
      <c r="D22" s="8"/>
      <c r="E22" s="5"/>
      <c r="F22" s="5"/>
      <c r="G22" s="8"/>
      <c r="H22" s="5"/>
      <c r="I22" s="8"/>
      <c r="J22" s="5"/>
      <c r="K22" s="5"/>
      <c r="L22" s="5"/>
      <c r="M22" s="5"/>
      <c r="N22" s="5"/>
      <c r="O22" s="5"/>
      <c r="P22" s="2"/>
      <c r="Q22" s="1"/>
      <c r="R22" s="4"/>
      <c r="T22" s="2" t="s">
        <v>34</v>
      </c>
      <c r="U22" t="s">
        <v>262</v>
      </c>
      <c r="V22" t="s">
        <v>269</v>
      </c>
      <c r="W22" t="s">
        <v>279</v>
      </c>
      <c r="X22" t="s">
        <v>280</v>
      </c>
    </row>
    <row r="23" spans="1:40" ht="14.85" customHeight="1">
      <c r="A23" t="s">
        <v>288</v>
      </c>
      <c r="B23" s="8" t="s">
        <v>25</v>
      </c>
      <c r="C23" s="5" t="s">
        <v>33</v>
      </c>
      <c r="D23" s="5" t="s">
        <v>33</v>
      </c>
      <c r="E23" s="5" t="s">
        <v>33</v>
      </c>
      <c r="F23" s="5" t="s">
        <v>33</v>
      </c>
      <c r="G23" s="8" t="s">
        <v>25</v>
      </c>
      <c r="H23" s="5" t="s">
        <v>33</v>
      </c>
      <c r="I23" s="5" t="s">
        <v>33</v>
      </c>
      <c r="J23" s="5" t="s">
        <v>33</v>
      </c>
      <c r="K23" s="5" t="s">
        <v>33</v>
      </c>
      <c r="L23" s="5" t="s">
        <v>33</v>
      </c>
      <c r="M23" s="5" t="s">
        <v>33</v>
      </c>
      <c r="N23" s="5" t="s">
        <v>33</v>
      </c>
      <c r="O23" s="5" t="s">
        <v>33</v>
      </c>
      <c r="P23" s="2">
        <f>COUNTIF(B23:O23,"✔")</f>
        <v>2</v>
      </c>
      <c r="Q23" s="1">
        <f>P23/14</f>
        <v>0.14285714285714285</v>
      </c>
      <c r="R23" s="4" t="s">
        <v>65</v>
      </c>
      <c r="S23" t="s">
        <v>289</v>
      </c>
      <c r="T23" s="2" t="s">
        <v>34</v>
      </c>
      <c r="U23" t="s">
        <v>262</v>
      </c>
      <c r="V23" t="s">
        <v>221</v>
      </c>
      <c r="W23" t="s">
        <v>290</v>
      </c>
      <c r="X23" t="s">
        <v>192</v>
      </c>
      <c r="Y23" t="s">
        <v>971</v>
      </c>
      <c r="AA23" t="s">
        <v>895</v>
      </c>
      <c r="AD23" t="s">
        <v>899</v>
      </c>
      <c r="AG23" t="s">
        <v>910</v>
      </c>
      <c r="AM23" t="s">
        <v>881</v>
      </c>
    </row>
    <row r="24" spans="1:40" ht="14.85" customHeight="1">
      <c r="A24" t="s">
        <v>291</v>
      </c>
      <c r="B24" s="8" t="s">
        <v>25</v>
      </c>
      <c r="C24" s="5" t="s">
        <v>33</v>
      </c>
      <c r="D24" s="5" t="s">
        <v>33</v>
      </c>
      <c r="E24" s="5" t="s">
        <v>33</v>
      </c>
      <c r="F24" s="5" t="s">
        <v>33</v>
      </c>
      <c r="G24" s="5" t="s">
        <v>33</v>
      </c>
      <c r="H24" s="5" t="s">
        <v>33</v>
      </c>
      <c r="I24" s="5" t="s">
        <v>33</v>
      </c>
      <c r="J24" s="5" t="s">
        <v>33</v>
      </c>
      <c r="K24" s="5" t="s">
        <v>33</v>
      </c>
      <c r="L24" s="5" t="s">
        <v>33</v>
      </c>
      <c r="M24" s="5" t="s">
        <v>33</v>
      </c>
      <c r="N24" s="5" t="s">
        <v>33</v>
      </c>
      <c r="O24" s="5" t="s">
        <v>33</v>
      </c>
      <c r="P24" s="2">
        <f>COUNTIF(B24:O24,"✔")</f>
        <v>1</v>
      </c>
      <c r="Q24" s="1">
        <f>P24/14</f>
        <v>7.1428571428571425E-2</v>
      </c>
      <c r="R24" s="4" t="s">
        <v>65</v>
      </c>
      <c r="S24" t="s">
        <v>289</v>
      </c>
      <c r="T24" s="2" t="s">
        <v>33</v>
      </c>
      <c r="U24" s="2" t="s">
        <v>33</v>
      </c>
      <c r="Y24" t="s">
        <v>972</v>
      </c>
      <c r="AA24" t="s">
        <v>895</v>
      </c>
      <c r="AM24" t="s">
        <v>895</v>
      </c>
    </row>
    <row r="25" spans="1:40" ht="14.85" customHeight="1">
      <c r="A25" t="s">
        <v>292</v>
      </c>
      <c r="B25" s="8" t="s">
        <v>25</v>
      </c>
      <c r="C25" s="5" t="s">
        <v>33</v>
      </c>
      <c r="D25" s="5" t="s">
        <v>33</v>
      </c>
      <c r="E25" s="5" t="s">
        <v>33</v>
      </c>
      <c r="F25" s="5" t="s">
        <v>33</v>
      </c>
      <c r="G25" s="5" t="s">
        <v>33</v>
      </c>
      <c r="H25" s="5" t="s">
        <v>33</v>
      </c>
      <c r="I25" s="5" t="s">
        <v>33</v>
      </c>
      <c r="J25" s="5" t="s">
        <v>33</v>
      </c>
      <c r="K25" s="5" t="s">
        <v>33</v>
      </c>
      <c r="L25" s="5" t="s">
        <v>33</v>
      </c>
      <c r="M25" s="5" t="s">
        <v>33</v>
      </c>
      <c r="N25" s="5" t="s">
        <v>33</v>
      </c>
      <c r="O25" s="5" t="s">
        <v>33</v>
      </c>
      <c r="P25" s="2">
        <f>COUNTIF(B25:O25,"✔")</f>
        <v>1</v>
      </c>
      <c r="Q25" s="1">
        <f>P25/14</f>
        <v>7.1428571428571425E-2</v>
      </c>
      <c r="R25" s="4" t="s">
        <v>65</v>
      </c>
      <c r="S25" t="s">
        <v>289</v>
      </c>
      <c r="T25" s="2" t="s">
        <v>33</v>
      </c>
      <c r="U25" s="2" t="s">
        <v>33</v>
      </c>
      <c r="Y25" t="s">
        <v>973</v>
      </c>
      <c r="AA25" t="s">
        <v>895</v>
      </c>
      <c r="AM25" t="s">
        <v>895</v>
      </c>
    </row>
    <row r="26" spans="1:40" ht="14.85" customHeight="1">
      <c r="A26" t="s">
        <v>293</v>
      </c>
      <c r="B26" s="8" t="s">
        <v>25</v>
      </c>
      <c r="C26" s="5" t="s">
        <v>33</v>
      </c>
      <c r="D26" s="5" t="s">
        <v>33</v>
      </c>
      <c r="E26" s="5" t="s">
        <v>33</v>
      </c>
      <c r="F26" s="5" t="s">
        <v>33</v>
      </c>
      <c r="G26" s="5" t="s">
        <v>33</v>
      </c>
      <c r="H26" s="5" t="s">
        <v>33</v>
      </c>
      <c r="I26" s="5" t="s">
        <v>33</v>
      </c>
      <c r="J26" s="5" t="s">
        <v>33</v>
      </c>
      <c r="K26" s="5" t="s">
        <v>33</v>
      </c>
      <c r="L26" s="5" t="s">
        <v>33</v>
      </c>
      <c r="M26" s="5" t="s">
        <v>33</v>
      </c>
      <c r="N26" s="5" t="s">
        <v>33</v>
      </c>
      <c r="O26" s="5" t="s">
        <v>33</v>
      </c>
      <c r="P26" s="2">
        <f>COUNTIF(B26:O26,"✔")</f>
        <v>1</v>
      </c>
      <c r="Q26" s="1">
        <f>COUNTIF(B26:N26,"✔")/COUNTA(B26:N26)</f>
        <v>7.6923076923076927E-2</v>
      </c>
      <c r="R26" s="4" t="s">
        <v>65</v>
      </c>
      <c r="S26" t="s">
        <v>289</v>
      </c>
      <c r="T26" s="2" t="s">
        <v>34</v>
      </c>
      <c r="U26" t="s">
        <v>262</v>
      </c>
      <c r="V26" t="s">
        <v>221</v>
      </c>
      <c r="W26" t="s">
        <v>294</v>
      </c>
      <c r="X26" t="s">
        <v>192</v>
      </c>
      <c r="Y26" t="s">
        <v>974</v>
      </c>
      <c r="AA26" t="s">
        <v>895</v>
      </c>
      <c r="AD26" t="s">
        <v>899</v>
      </c>
      <c r="AG26" t="s">
        <v>910</v>
      </c>
      <c r="AM26" t="s">
        <v>881</v>
      </c>
    </row>
    <row r="27" spans="1:40" ht="14.85" customHeight="1">
      <c r="A27" s="14" t="s">
        <v>295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37"/>
      <c r="N27" s="15"/>
      <c r="O27" s="15"/>
      <c r="P27" s="32"/>
      <c r="Q27" s="17"/>
      <c r="R27" s="65"/>
      <c r="S27" s="66"/>
      <c r="T27" s="32"/>
      <c r="U27" s="31"/>
      <c r="V27" s="31"/>
      <c r="W27" s="31"/>
      <c r="X27" s="31"/>
    </row>
    <row r="28" spans="1:40" ht="14.85" customHeight="1">
      <c r="A28" t="s">
        <v>296</v>
      </c>
      <c r="B28" s="5" t="s">
        <v>33</v>
      </c>
      <c r="C28" s="8" t="s">
        <v>25</v>
      </c>
      <c r="D28" s="5" t="s">
        <v>33</v>
      </c>
      <c r="E28" s="8" t="s">
        <v>25</v>
      </c>
      <c r="F28" s="8" t="s">
        <v>25</v>
      </c>
      <c r="G28" s="5" t="s">
        <v>33</v>
      </c>
      <c r="H28" s="5" t="s">
        <v>33</v>
      </c>
      <c r="I28" s="5" t="s">
        <v>33</v>
      </c>
      <c r="J28" s="5" t="s">
        <v>33</v>
      </c>
      <c r="K28" s="8" t="s">
        <v>25</v>
      </c>
      <c r="L28" s="8" t="s">
        <v>25</v>
      </c>
      <c r="M28" s="5" t="s">
        <v>33</v>
      </c>
      <c r="N28" s="8" t="s">
        <v>25</v>
      </c>
      <c r="O28" s="5" t="s">
        <v>33</v>
      </c>
      <c r="P28" s="2">
        <f t="shared" ref="P28:P37" si="2">COUNTIF(B28:O28,"✔")</f>
        <v>6</v>
      </c>
      <c r="Q28" s="1">
        <f t="shared" ref="Q28:Q37" si="3">P28/14</f>
        <v>0.42857142857142855</v>
      </c>
      <c r="R28" s="4" t="s">
        <v>199</v>
      </c>
      <c r="S28" t="s">
        <v>297</v>
      </c>
      <c r="T28" s="2"/>
      <c r="U28" s="2" t="s">
        <v>199</v>
      </c>
      <c r="Y28" t="s">
        <v>975</v>
      </c>
      <c r="AA28" t="s">
        <v>199</v>
      </c>
      <c r="AM28" t="s">
        <v>199</v>
      </c>
    </row>
    <row r="29" spans="1:40" ht="14.85" customHeight="1">
      <c r="A29" t="s">
        <v>298</v>
      </c>
      <c r="B29" s="8" t="s">
        <v>25</v>
      </c>
      <c r="C29" s="5" t="s">
        <v>33</v>
      </c>
      <c r="D29" s="8" t="s">
        <v>25</v>
      </c>
      <c r="E29" s="5" t="s">
        <v>33</v>
      </c>
      <c r="F29" s="5" t="s">
        <v>33</v>
      </c>
      <c r="G29" s="8" t="s">
        <v>25</v>
      </c>
      <c r="H29" s="8" t="s">
        <v>25</v>
      </c>
      <c r="I29" s="8" t="s">
        <v>25</v>
      </c>
      <c r="J29" s="8" t="s">
        <v>25</v>
      </c>
      <c r="K29" s="5" t="s">
        <v>33</v>
      </c>
      <c r="L29" s="5" t="s">
        <v>33</v>
      </c>
      <c r="M29" s="8" t="s">
        <v>25</v>
      </c>
      <c r="N29" s="5" t="s">
        <v>33</v>
      </c>
      <c r="O29" s="5" t="s">
        <v>33</v>
      </c>
      <c r="P29" s="2">
        <f t="shared" si="2"/>
        <v>7</v>
      </c>
      <c r="Q29" s="1">
        <f t="shared" si="3"/>
        <v>0.5</v>
      </c>
      <c r="R29" s="4" t="s">
        <v>26</v>
      </c>
      <c r="S29" t="s">
        <v>299</v>
      </c>
      <c r="T29" s="2" t="s">
        <v>34</v>
      </c>
      <c r="U29" t="s">
        <v>262</v>
      </c>
      <c r="V29" t="s">
        <v>221</v>
      </c>
      <c r="W29" t="s">
        <v>85</v>
      </c>
      <c r="X29" t="s">
        <v>222</v>
      </c>
      <c r="Y29" t="s">
        <v>976</v>
      </c>
      <c r="AD29" t="s">
        <v>883</v>
      </c>
      <c r="AG29" t="s">
        <v>910</v>
      </c>
      <c r="AM29" t="s">
        <v>881</v>
      </c>
    </row>
    <row r="30" spans="1:40" ht="14.85" customHeight="1">
      <c r="A30" t="s">
        <v>300</v>
      </c>
      <c r="B30" s="8" t="s">
        <v>25</v>
      </c>
      <c r="C30" s="5" t="s">
        <v>33</v>
      </c>
      <c r="D30" s="8" t="s">
        <v>25</v>
      </c>
      <c r="E30" s="5" t="s">
        <v>33</v>
      </c>
      <c r="F30" s="5" t="s">
        <v>33</v>
      </c>
      <c r="G30" s="8" t="s">
        <v>25</v>
      </c>
      <c r="H30" s="5" t="s">
        <v>33</v>
      </c>
      <c r="I30" s="8" t="s">
        <v>25</v>
      </c>
      <c r="J30" s="5" t="s">
        <v>33</v>
      </c>
      <c r="K30" s="5" t="s">
        <v>33</v>
      </c>
      <c r="L30" s="5" t="s">
        <v>33</v>
      </c>
      <c r="M30" s="5" t="s">
        <v>33</v>
      </c>
      <c r="N30" s="5" t="s">
        <v>33</v>
      </c>
      <c r="O30" s="5" t="s">
        <v>33</v>
      </c>
      <c r="P30" s="2">
        <f t="shared" si="2"/>
        <v>4</v>
      </c>
      <c r="Q30" s="1">
        <f t="shared" si="3"/>
        <v>0.2857142857142857</v>
      </c>
      <c r="R30" s="4" t="s">
        <v>26</v>
      </c>
      <c r="S30" t="s">
        <v>130</v>
      </c>
      <c r="T30" s="2" t="s">
        <v>34</v>
      </c>
      <c r="U30" s="2" t="s">
        <v>29</v>
      </c>
      <c r="V30" s="2" t="s">
        <v>161</v>
      </c>
      <c r="W30" s="2" t="s">
        <v>162</v>
      </c>
      <c r="X30" s="2" t="s">
        <v>163</v>
      </c>
      <c r="Y30" t="s">
        <v>977</v>
      </c>
      <c r="AD30" t="s">
        <v>893</v>
      </c>
      <c r="AG30" t="s">
        <v>884</v>
      </c>
      <c r="AM30" t="s">
        <v>881</v>
      </c>
    </row>
    <row r="31" spans="1:40" ht="14.85" customHeight="1">
      <c r="A31" s="10" t="s">
        <v>301</v>
      </c>
      <c r="B31" s="8" t="s">
        <v>25</v>
      </c>
      <c r="C31" s="5" t="s">
        <v>33</v>
      </c>
      <c r="D31" s="8" t="s">
        <v>25</v>
      </c>
      <c r="E31" s="5" t="s">
        <v>33</v>
      </c>
      <c r="F31" s="5" t="s">
        <v>33</v>
      </c>
      <c r="G31" s="8" t="s">
        <v>25</v>
      </c>
      <c r="H31" s="5" t="s">
        <v>33</v>
      </c>
      <c r="I31" s="8" t="s">
        <v>25</v>
      </c>
      <c r="J31" s="5" t="s">
        <v>33</v>
      </c>
      <c r="K31" s="5" t="s">
        <v>33</v>
      </c>
      <c r="L31" s="5" t="s">
        <v>33</v>
      </c>
      <c r="M31" s="5" t="s">
        <v>33</v>
      </c>
      <c r="N31" s="5" t="s">
        <v>33</v>
      </c>
      <c r="O31" s="5" t="s">
        <v>33</v>
      </c>
      <c r="P31" s="2">
        <f t="shared" si="2"/>
        <v>4</v>
      </c>
      <c r="Q31" s="1">
        <f t="shared" si="3"/>
        <v>0.2857142857142857</v>
      </c>
      <c r="R31" s="4" t="s">
        <v>65</v>
      </c>
      <c r="S31" t="s">
        <v>302</v>
      </c>
      <c r="T31" s="2" t="s">
        <v>28</v>
      </c>
      <c r="U31" t="s">
        <v>29</v>
      </c>
      <c r="V31" t="s">
        <v>303</v>
      </c>
      <c r="W31" t="s">
        <v>304</v>
      </c>
      <c r="X31" t="s">
        <v>305</v>
      </c>
      <c r="Y31" t="s">
        <v>978</v>
      </c>
      <c r="AA31" t="s">
        <v>895</v>
      </c>
      <c r="AD31" t="s">
        <v>950</v>
      </c>
      <c r="AG31" t="s">
        <v>884</v>
      </c>
      <c r="AM31" t="s">
        <v>916</v>
      </c>
      <c r="AN31" t="s">
        <v>236</v>
      </c>
    </row>
    <row r="32" spans="1:40" ht="14.85" customHeight="1">
      <c r="A32" t="s">
        <v>306</v>
      </c>
      <c r="B32" s="8" t="s">
        <v>25</v>
      </c>
      <c r="C32" s="5" t="s">
        <v>33</v>
      </c>
      <c r="D32" s="5" t="s">
        <v>33</v>
      </c>
      <c r="E32" s="5" t="s">
        <v>33</v>
      </c>
      <c r="F32" s="5" t="s">
        <v>33</v>
      </c>
      <c r="G32" s="8" t="s">
        <v>25</v>
      </c>
      <c r="H32" s="5" t="s">
        <v>33</v>
      </c>
      <c r="I32" s="5" t="s">
        <v>33</v>
      </c>
      <c r="J32" s="8" t="s">
        <v>25</v>
      </c>
      <c r="K32" s="5" t="s">
        <v>33</v>
      </c>
      <c r="L32" s="5" t="s">
        <v>33</v>
      </c>
      <c r="M32" s="5" t="s">
        <v>33</v>
      </c>
      <c r="N32" s="5" t="s">
        <v>33</v>
      </c>
      <c r="O32" s="5" t="s">
        <v>33</v>
      </c>
      <c r="P32" s="2">
        <f t="shared" si="2"/>
        <v>3</v>
      </c>
      <c r="Q32" s="1">
        <f t="shared" si="3"/>
        <v>0.21428571428571427</v>
      </c>
      <c r="R32" s="4" t="s">
        <v>26</v>
      </c>
      <c r="S32" t="s">
        <v>278</v>
      </c>
      <c r="T32" s="2" t="s">
        <v>34</v>
      </c>
      <c r="U32" t="s">
        <v>262</v>
      </c>
      <c r="V32" t="s">
        <v>221</v>
      </c>
      <c r="W32" t="s">
        <v>307</v>
      </c>
      <c r="X32" t="s">
        <v>192</v>
      </c>
      <c r="Y32" t="s">
        <v>979</v>
      </c>
      <c r="AD32" t="s">
        <v>899</v>
      </c>
      <c r="AG32" t="s">
        <v>910</v>
      </c>
      <c r="AM32" t="s">
        <v>881</v>
      </c>
    </row>
    <row r="33" spans="1:40" ht="14.85" customHeight="1">
      <c r="A33" t="s">
        <v>308</v>
      </c>
      <c r="B33" s="8" t="s">
        <v>25</v>
      </c>
      <c r="C33" s="5" t="s">
        <v>33</v>
      </c>
      <c r="D33" s="5" t="s">
        <v>33</v>
      </c>
      <c r="E33" s="5" t="s">
        <v>33</v>
      </c>
      <c r="F33" s="5" t="s">
        <v>33</v>
      </c>
      <c r="G33" s="8" t="s">
        <v>25</v>
      </c>
      <c r="H33" s="5" t="s">
        <v>33</v>
      </c>
      <c r="I33" s="8" t="s">
        <v>25</v>
      </c>
      <c r="J33" s="5" t="s">
        <v>33</v>
      </c>
      <c r="K33" s="5" t="s">
        <v>33</v>
      </c>
      <c r="L33" s="5" t="s">
        <v>33</v>
      </c>
      <c r="M33" s="5" t="s">
        <v>33</v>
      </c>
      <c r="N33" s="5" t="s">
        <v>33</v>
      </c>
      <c r="O33" s="5" t="s">
        <v>33</v>
      </c>
      <c r="P33" s="2">
        <f t="shared" si="2"/>
        <v>3</v>
      </c>
      <c r="Q33" s="1">
        <f t="shared" si="3"/>
        <v>0.21428571428571427</v>
      </c>
      <c r="R33" s="4" t="s">
        <v>65</v>
      </c>
      <c r="S33" t="s">
        <v>309</v>
      </c>
      <c r="T33" s="2" t="s">
        <v>33</v>
      </c>
      <c r="U33" s="2" t="s">
        <v>33</v>
      </c>
      <c r="Y33" t="s">
        <v>980</v>
      </c>
      <c r="AA33" t="s">
        <v>895</v>
      </c>
      <c r="AM33" t="s">
        <v>895</v>
      </c>
    </row>
    <row r="34" spans="1:40" ht="14.85" customHeight="1">
      <c r="A34" t="s">
        <v>310</v>
      </c>
      <c r="B34" s="8" t="s">
        <v>25</v>
      </c>
      <c r="C34" s="5" t="s">
        <v>33</v>
      </c>
      <c r="D34" s="5" t="s">
        <v>33</v>
      </c>
      <c r="E34" s="5" t="s">
        <v>33</v>
      </c>
      <c r="F34" s="5" t="s">
        <v>33</v>
      </c>
      <c r="G34" s="8" t="s">
        <v>25</v>
      </c>
      <c r="H34" s="5" t="s">
        <v>33</v>
      </c>
      <c r="I34" s="8" t="s">
        <v>25</v>
      </c>
      <c r="J34" s="5" t="s">
        <v>33</v>
      </c>
      <c r="K34" s="5" t="s">
        <v>33</v>
      </c>
      <c r="L34" s="5" t="s">
        <v>33</v>
      </c>
      <c r="M34" s="5" t="s">
        <v>33</v>
      </c>
      <c r="N34" s="5" t="s">
        <v>33</v>
      </c>
      <c r="O34" s="5" t="s">
        <v>33</v>
      </c>
      <c r="P34" s="2">
        <f t="shared" si="2"/>
        <v>3</v>
      </c>
      <c r="Q34" s="1">
        <f t="shared" si="3"/>
        <v>0.21428571428571427</v>
      </c>
      <c r="R34" s="4" t="s">
        <v>65</v>
      </c>
      <c r="S34" t="s">
        <v>311</v>
      </c>
      <c r="T34" s="2" t="s">
        <v>34</v>
      </c>
      <c r="U34" s="2" t="s">
        <v>312</v>
      </c>
      <c r="V34" s="2" t="s">
        <v>313</v>
      </c>
      <c r="W34" s="2" t="s">
        <v>85</v>
      </c>
      <c r="X34" s="2" t="s">
        <v>314</v>
      </c>
      <c r="Y34" t="s">
        <v>981</v>
      </c>
      <c r="AA34" t="s">
        <v>895</v>
      </c>
      <c r="AD34" t="s">
        <v>883</v>
      </c>
      <c r="AG34" t="s">
        <v>884</v>
      </c>
      <c r="AM34" t="s">
        <v>881</v>
      </c>
    </row>
    <row r="35" spans="1:40" ht="14.85" customHeight="1">
      <c r="A35" t="s">
        <v>315</v>
      </c>
      <c r="B35" s="8" t="s">
        <v>25</v>
      </c>
      <c r="C35" s="5" t="s">
        <v>33</v>
      </c>
      <c r="D35" s="5" t="s">
        <v>33</v>
      </c>
      <c r="E35" s="5" t="s">
        <v>33</v>
      </c>
      <c r="F35" s="5" t="s">
        <v>33</v>
      </c>
      <c r="G35" s="8" t="s">
        <v>25</v>
      </c>
      <c r="H35" s="5" t="s">
        <v>33</v>
      </c>
      <c r="I35" s="8" t="s">
        <v>25</v>
      </c>
      <c r="J35" s="5" t="s">
        <v>33</v>
      </c>
      <c r="K35" s="5" t="s">
        <v>33</v>
      </c>
      <c r="L35" s="5" t="s">
        <v>33</v>
      </c>
      <c r="M35" s="5" t="s">
        <v>33</v>
      </c>
      <c r="N35" s="5" t="s">
        <v>33</v>
      </c>
      <c r="O35" s="5" t="s">
        <v>33</v>
      </c>
      <c r="P35" s="2">
        <f t="shared" si="2"/>
        <v>3</v>
      </c>
      <c r="Q35" s="1">
        <f t="shared" si="3"/>
        <v>0.21428571428571427</v>
      </c>
      <c r="R35" s="4" t="s">
        <v>65</v>
      </c>
      <c r="S35" t="s">
        <v>316</v>
      </c>
      <c r="T35" s="2" t="s">
        <v>33</v>
      </c>
      <c r="U35" s="2" t="s">
        <v>33</v>
      </c>
      <c r="Y35" t="s">
        <v>982</v>
      </c>
      <c r="AA35" t="s">
        <v>895</v>
      </c>
      <c r="AM35" t="s">
        <v>895</v>
      </c>
    </row>
    <row r="36" spans="1:40" ht="14.85" customHeight="1">
      <c r="A36" t="s">
        <v>317</v>
      </c>
      <c r="B36" s="8" t="s">
        <v>25</v>
      </c>
      <c r="C36" s="5" t="s">
        <v>33</v>
      </c>
      <c r="D36" s="5" t="s">
        <v>33</v>
      </c>
      <c r="E36" s="5" t="s">
        <v>33</v>
      </c>
      <c r="F36" s="5" t="s">
        <v>33</v>
      </c>
      <c r="G36" s="8" t="s">
        <v>25</v>
      </c>
      <c r="H36" s="5" t="s">
        <v>33</v>
      </c>
      <c r="I36" s="8" t="s">
        <v>25</v>
      </c>
      <c r="J36" s="5" t="s">
        <v>33</v>
      </c>
      <c r="K36" s="5" t="s">
        <v>33</v>
      </c>
      <c r="L36" s="5" t="s">
        <v>33</v>
      </c>
      <c r="M36" s="5" t="s">
        <v>33</v>
      </c>
      <c r="N36" s="5" t="s">
        <v>33</v>
      </c>
      <c r="O36" s="5" t="s">
        <v>33</v>
      </c>
      <c r="P36" s="2">
        <f t="shared" si="2"/>
        <v>3</v>
      </c>
      <c r="Q36" s="1">
        <f t="shared" si="3"/>
        <v>0.21428571428571427</v>
      </c>
      <c r="R36" s="4" t="s">
        <v>65</v>
      </c>
      <c r="S36" t="s">
        <v>318</v>
      </c>
      <c r="T36" s="2" t="s">
        <v>28</v>
      </c>
      <c r="U36" t="s">
        <v>29</v>
      </c>
      <c r="V36" t="s">
        <v>303</v>
      </c>
      <c r="W36" t="s">
        <v>304</v>
      </c>
      <c r="X36" t="s">
        <v>305</v>
      </c>
      <c r="Y36" t="s">
        <v>983</v>
      </c>
      <c r="AA36" t="s">
        <v>895</v>
      </c>
      <c r="AD36" t="s">
        <v>950</v>
      </c>
      <c r="AG36" t="s">
        <v>884</v>
      </c>
      <c r="AM36" t="s">
        <v>916</v>
      </c>
      <c r="AN36" t="s">
        <v>236</v>
      </c>
    </row>
    <row r="37" spans="1:40" ht="14.85" customHeight="1">
      <c r="A37" t="s">
        <v>319</v>
      </c>
      <c r="B37" s="8" t="s">
        <v>25</v>
      </c>
      <c r="C37" s="5" t="s">
        <v>33</v>
      </c>
      <c r="D37" s="5" t="s">
        <v>33</v>
      </c>
      <c r="E37" s="5" t="s">
        <v>33</v>
      </c>
      <c r="F37" s="5" t="s">
        <v>33</v>
      </c>
      <c r="G37" s="5" t="s">
        <v>33</v>
      </c>
      <c r="H37" s="5" t="s">
        <v>33</v>
      </c>
      <c r="I37" s="5" t="s">
        <v>33</v>
      </c>
      <c r="J37" s="5" t="s">
        <v>33</v>
      </c>
      <c r="K37" s="5" t="s">
        <v>33</v>
      </c>
      <c r="L37" s="5" t="s">
        <v>33</v>
      </c>
      <c r="M37" s="5" t="s">
        <v>33</v>
      </c>
      <c r="N37" s="5" t="s">
        <v>33</v>
      </c>
      <c r="O37" s="5" t="s">
        <v>33</v>
      </c>
      <c r="P37" s="2">
        <f t="shared" si="2"/>
        <v>1</v>
      </c>
      <c r="Q37" s="1">
        <f t="shared" si="3"/>
        <v>7.1428571428571425E-2</v>
      </c>
      <c r="R37" s="4" t="s">
        <v>26</v>
      </c>
      <c r="S37" t="s">
        <v>320</v>
      </c>
      <c r="T37" s="2" t="s">
        <v>34</v>
      </c>
      <c r="U37" t="s">
        <v>262</v>
      </c>
      <c r="V37" t="s">
        <v>221</v>
      </c>
      <c r="W37" t="s">
        <v>285</v>
      </c>
      <c r="X37" t="s">
        <v>192</v>
      </c>
      <c r="Y37" t="s">
        <v>984</v>
      </c>
      <c r="AD37" t="s">
        <v>899</v>
      </c>
      <c r="AG37" t="s">
        <v>910</v>
      </c>
      <c r="AM37" t="s">
        <v>881</v>
      </c>
    </row>
    <row r="38" spans="1:40" ht="14.85" customHeight="1">
      <c r="B38" s="8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2"/>
      <c r="Q38" s="1"/>
      <c r="R38" s="4"/>
      <c r="T38" s="2" t="s">
        <v>34</v>
      </c>
      <c r="U38" t="s">
        <v>262</v>
      </c>
      <c r="V38" t="s">
        <v>221</v>
      </c>
      <c r="W38" t="s">
        <v>285</v>
      </c>
      <c r="X38" t="s">
        <v>192</v>
      </c>
    </row>
    <row r="39" spans="1:40" ht="14.85" customHeight="1">
      <c r="A39" t="s">
        <v>321</v>
      </c>
      <c r="B39" s="9" t="s">
        <v>25</v>
      </c>
      <c r="C39" s="5" t="s">
        <v>33</v>
      </c>
      <c r="D39" s="5" t="s">
        <v>33</v>
      </c>
      <c r="E39" s="5" t="s">
        <v>33</v>
      </c>
      <c r="F39" s="5" t="s">
        <v>33</v>
      </c>
      <c r="G39" s="5" t="s">
        <v>33</v>
      </c>
      <c r="H39" s="5" t="s">
        <v>33</v>
      </c>
      <c r="I39" s="5" t="s">
        <v>33</v>
      </c>
      <c r="J39" s="5" t="s">
        <v>33</v>
      </c>
      <c r="K39" s="5" t="s">
        <v>33</v>
      </c>
      <c r="L39" s="5" t="s">
        <v>33</v>
      </c>
      <c r="M39" s="5" t="s">
        <v>33</v>
      </c>
      <c r="N39" s="5" t="s">
        <v>33</v>
      </c>
      <c r="O39" s="5" t="s">
        <v>33</v>
      </c>
      <c r="P39" s="2">
        <f>COUNTIF(B39:O39,"✔")</f>
        <v>1</v>
      </c>
      <c r="Q39" s="1">
        <f>P39/14</f>
        <v>7.1428571428571425E-2</v>
      </c>
      <c r="R39" s="4" t="s">
        <v>26</v>
      </c>
      <c r="S39" t="s">
        <v>322</v>
      </c>
      <c r="T39" s="2" t="s">
        <v>34</v>
      </c>
      <c r="U39" t="s">
        <v>262</v>
      </c>
      <c r="V39" t="s">
        <v>221</v>
      </c>
      <c r="W39" t="s">
        <v>323</v>
      </c>
      <c r="X39" t="s">
        <v>192</v>
      </c>
      <c r="Y39" t="s">
        <v>985</v>
      </c>
      <c r="AD39" t="s">
        <v>899</v>
      </c>
      <c r="AG39" t="s">
        <v>910</v>
      </c>
      <c r="AM39" t="s">
        <v>881</v>
      </c>
    </row>
    <row r="40" spans="1:40" ht="14.85" customHeight="1">
      <c r="A40" t="s">
        <v>324</v>
      </c>
      <c r="B40" s="5" t="s">
        <v>33</v>
      </c>
      <c r="C40" s="5" t="s">
        <v>33</v>
      </c>
      <c r="D40" s="8" t="s">
        <v>25</v>
      </c>
      <c r="E40" s="5" t="s">
        <v>33</v>
      </c>
      <c r="F40" s="5" t="s">
        <v>33</v>
      </c>
      <c r="G40" s="5" t="s">
        <v>33</v>
      </c>
      <c r="H40" s="5" t="s">
        <v>33</v>
      </c>
      <c r="I40" s="5" t="s">
        <v>33</v>
      </c>
      <c r="J40" s="5" t="s">
        <v>33</v>
      </c>
      <c r="K40" s="5" t="s">
        <v>33</v>
      </c>
      <c r="L40" s="5" t="s">
        <v>33</v>
      </c>
      <c r="M40" s="5" t="s">
        <v>33</v>
      </c>
      <c r="N40" s="5" t="s">
        <v>33</v>
      </c>
      <c r="O40" s="5" t="s">
        <v>33</v>
      </c>
      <c r="P40" s="2">
        <f>COUNTIF(B40:O40,"✔")</f>
        <v>1</v>
      </c>
      <c r="Q40" s="1">
        <f>P40/14</f>
        <v>7.1428571428571425E-2</v>
      </c>
      <c r="R40" s="4" t="s">
        <v>65</v>
      </c>
      <c r="S40" t="s">
        <v>325</v>
      </c>
      <c r="T40" s="2" t="s">
        <v>34</v>
      </c>
      <c r="U40" s="2" t="s">
        <v>312</v>
      </c>
      <c r="V40" s="2" t="s">
        <v>313</v>
      </c>
      <c r="W40" s="2" t="s">
        <v>326</v>
      </c>
      <c r="X40" s="2" t="s">
        <v>152</v>
      </c>
      <c r="Y40" t="s">
        <v>986</v>
      </c>
      <c r="AA40" t="s">
        <v>895</v>
      </c>
      <c r="AD40" t="s">
        <v>920</v>
      </c>
      <c r="AG40" t="s">
        <v>884</v>
      </c>
      <c r="AM40" t="s">
        <v>881</v>
      </c>
    </row>
    <row r="41" spans="1:40" ht="14.85" customHeight="1">
      <c r="A41" t="s">
        <v>327</v>
      </c>
      <c r="B41" s="5" t="s">
        <v>33</v>
      </c>
      <c r="C41" s="5" t="s">
        <v>33</v>
      </c>
      <c r="D41" s="8" t="s">
        <v>25</v>
      </c>
      <c r="E41" s="5" t="s">
        <v>33</v>
      </c>
      <c r="F41" s="5" t="s">
        <v>33</v>
      </c>
      <c r="G41" s="5" t="s">
        <v>33</v>
      </c>
      <c r="H41" s="5" t="s">
        <v>33</v>
      </c>
      <c r="I41" s="5" t="s">
        <v>33</v>
      </c>
      <c r="J41" s="5" t="s">
        <v>33</v>
      </c>
      <c r="K41" s="5" t="s">
        <v>33</v>
      </c>
      <c r="L41" s="5" t="s">
        <v>33</v>
      </c>
      <c r="M41" s="5" t="s">
        <v>33</v>
      </c>
      <c r="N41" s="5" t="s">
        <v>33</v>
      </c>
      <c r="O41" s="5" t="s">
        <v>33</v>
      </c>
      <c r="P41" s="2">
        <f>COUNTIF(B41:O41,"✔")</f>
        <v>1</v>
      </c>
      <c r="Q41" s="1">
        <f>P41/14</f>
        <v>7.1428571428571425E-2</v>
      </c>
      <c r="R41" s="4" t="s">
        <v>65</v>
      </c>
      <c r="S41" t="s">
        <v>325</v>
      </c>
      <c r="T41" s="2" t="s">
        <v>34</v>
      </c>
      <c r="U41" s="2" t="s">
        <v>312</v>
      </c>
      <c r="V41" s="2" t="s">
        <v>313</v>
      </c>
      <c r="W41" s="2" t="s">
        <v>326</v>
      </c>
      <c r="X41" s="2" t="s">
        <v>152</v>
      </c>
      <c r="Y41" t="s">
        <v>987</v>
      </c>
      <c r="AA41" t="s">
        <v>895</v>
      </c>
      <c r="AD41" t="s">
        <v>920</v>
      </c>
      <c r="AG41" t="s">
        <v>884</v>
      </c>
      <c r="AM41" t="s">
        <v>881</v>
      </c>
    </row>
    <row r="42" spans="1:40" ht="14.85" customHeight="1">
      <c r="A42" t="s">
        <v>328</v>
      </c>
      <c r="B42" s="5" t="s">
        <v>33</v>
      </c>
      <c r="C42" s="5" t="s">
        <v>33</v>
      </c>
      <c r="D42" s="5" t="s">
        <v>33</v>
      </c>
      <c r="E42" s="5" t="s">
        <v>33</v>
      </c>
      <c r="F42" s="5" t="s">
        <v>33</v>
      </c>
      <c r="G42" s="5" t="s">
        <v>33</v>
      </c>
      <c r="H42" s="5" t="s">
        <v>33</v>
      </c>
      <c r="I42" s="8" t="s">
        <v>25</v>
      </c>
      <c r="J42" s="5" t="s">
        <v>33</v>
      </c>
      <c r="K42" s="5" t="s">
        <v>33</v>
      </c>
      <c r="L42" s="5" t="s">
        <v>33</v>
      </c>
      <c r="M42" s="5" t="s">
        <v>33</v>
      </c>
      <c r="N42" s="5" t="s">
        <v>33</v>
      </c>
      <c r="O42" s="5" t="s">
        <v>33</v>
      </c>
      <c r="P42" s="2">
        <f>COUNTIF(B42:O42,"✔")</f>
        <v>1</v>
      </c>
      <c r="Q42" s="1">
        <f>P42/14</f>
        <v>7.1428571428571425E-2</v>
      </c>
      <c r="R42" s="4" t="s">
        <v>26</v>
      </c>
      <c r="S42" t="s">
        <v>278</v>
      </c>
      <c r="T42" s="2" t="s">
        <v>34</v>
      </c>
      <c r="U42" t="s">
        <v>262</v>
      </c>
      <c r="V42" t="s">
        <v>221</v>
      </c>
      <c r="W42" t="s">
        <v>282</v>
      </c>
      <c r="X42" t="s">
        <v>192</v>
      </c>
      <c r="Y42" t="s">
        <v>988</v>
      </c>
      <c r="AD42" t="s">
        <v>899</v>
      </c>
      <c r="AG42" t="s">
        <v>910</v>
      </c>
      <c r="AM42" t="s">
        <v>881</v>
      </c>
    </row>
  </sheetData>
  <dataValidations count="7">
    <dataValidation type="list" allowBlank="1" showInputMessage="1" sqref="AA2:AA42" xr:uid="{BD1A6EE1-ECFD-442F-ABA3-AC37D12809E0}">
      <mc:AlternateContent xmlns:x12ac="http://schemas.microsoft.com/office/spreadsheetml/2011/1/ac" xmlns:mc="http://schemas.openxmlformats.org/markup-compatibility/2006">
        <mc:Choice Requires="x12ac">
          <x12ac:list>"Mandatory,Optional,Out of scope,N/A"</x12ac:list>
        </mc:Choice>
        <mc:Fallback>
          <formula1>"Mandatory,Optional,Out of scope,N/A"</formula1>
        </mc:Fallback>
      </mc:AlternateContent>
    </dataValidation>
    <dataValidation type="list" allowBlank="1" showInputMessage="1" sqref="AD2:AD42" xr:uid="{1BC343B1-ED3B-4B09-8688-E5DA2898C85A}">
      <mc:AlternateContent xmlns:x12ac="http://schemas.microsoft.com/office/spreadsheetml/2011/1/ac" xmlns:mc="http://schemas.openxmlformats.org/markup-compatibility/2006">
        <mc:Choice Requires="x12ac">
          <x12ac:list>"numeric,categorical,boolean,date,text,document,geometry,time series,reference,composite"</x12ac:list>
        </mc:Choice>
        <mc:Fallback>
          <formula1>"numeric,categorical,boolean,date,text,document,geometry,time series,reference,composite"</formula1>
        </mc:Fallback>
      </mc:AlternateContent>
    </dataValidation>
    <dataValidation type="list" allowBlank="1" showInputMessage="1" sqref="AG2:AG42" xr:uid="{951AD4A3-1152-4D8D-9B8E-4A7C34664B7E}">
      <mc:AlternateContent xmlns:x12ac="http://schemas.microsoft.com/office/spreadsheetml/2011/1/ac" xmlns:mc="http://schemas.openxmlformats.org/markup-compatibility/2006">
        <mc:Choice Requires="x12ac">
          <x12ac:list>"building,unit,zone,component,site / context,any level"</x12ac:list>
        </mc:Choice>
        <mc:Fallback>
          <formula1>"building,unit,zone,component,site / context,any level"</formula1>
        </mc:Fallback>
      </mc:AlternateContent>
    </dataValidation>
    <dataValidation type="list" allowBlank="1" showInputMessage="1" sqref="AH2:AH42" xr:uid="{585CBF05-153A-4050-9FBC-9E66FFCED926}">
      <mc:AlternateContent xmlns:x12ac="http://schemas.microsoft.com/office/spreadsheetml/2011/1/ac" xmlns:mc="http://schemas.openxmlformats.org/markup-compatibility/2006">
        <mc:Choice Requires="x12ac">
          <x12ac:list>"static,historical,periodic,real-time"</x12ac:list>
        </mc:Choice>
        <mc:Fallback>
          <formula1>"static,historical,periodic,real-time"</formula1>
        </mc:Fallback>
      </mc:AlternateContent>
    </dataValidation>
    <dataValidation type="list" allowBlank="1" showInputMessage="1" sqref="AI2:AI42" xr:uid="{488C57EF-E005-4E80-AA2F-98B41398565B}">
      <mc:AlternateContent xmlns:x12ac="http://schemas.microsoft.com/office/spreadsheetml/2011/1/ac" xmlns:mc="http://schemas.openxmlformats.org/markup-compatibility/2006">
        <mc:Choice Requires="x12ac">
          <x12ac:list>"Public,Restricted,Personal data (GDPR),Commercially sensitive"</x12ac:list>
        </mc:Choice>
        <mc:Fallback>
          <formula1>"Public,Restricted,Personal data (GDPR),Commercially sensitive"</formula1>
        </mc:Fallback>
      </mc:AlternateContent>
    </dataValidation>
    <dataValidation type="list" allowBlank="1" showInputMessage="1" sqref="AL2:AL42" xr:uid="{595B00B5-C797-4B92-9905-8B9FDF512B0B}">
      <mc:AlternateContent xmlns:x12ac="http://schemas.microsoft.com/office/spreadsheetml/2011/1/ac" xmlns:mc="http://schemas.openxmlformats.org/markup-compatibility/2006">
        <mc:Choice Requires="x12ac">
          <x12ac:list>"open data,API,manual input,inspection,derived"</x12ac:list>
        </mc:Choice>
        <mc:Fallback>
          <formula1>"open data,API,manual input,inspection,derived"</formula1>
        </mc:Fallback>
      </mc:AlternateContent>
    </dataValidation>
    <dataValidation type="list" allowBlank="1" showInputMessage="1" sqref="AM2:AM42" xr:uid="{D7F9A8ED-7907-48B1-B93F-7E3867310978}">
      <mc:AlternateContent xmlns:x12ac="http://schemas.microsoft.com/office/spreadsheetml/2011/1/ac" xmlns:mc="http://schemas.openxmlformats.org/markup-compatibility/2006">
        <mc:Choice Requires="x12ac">
          <x12ac:list>"Native,Workaround,Extension needed,Out of scope,N/A"</x12ac:list>
        </mc:Choice>
        <mc:Fallback>
          <formula1>"Native,Workaround,Extension needed,Out of scope,N/A"</formula1>
        </mc:Fallback>
      </mc:AlternateContent>
    </dataValidation>
  </dataValidations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AN41"/>
  <sheetViews>
    <sheetView zoomScale="77" zoomScaleNormal="70"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="O16" sqref="O16"/>
    </sheetView>
  </sheetViews>
  <sheetFormatPr defaultColWidth="9.28515625" defaultRowHeight="15" customHeight="1"/>
  <cols>
    <col min="1" max="1" width="50.7109375" customWidth="1"/>
    <col min="2" max="16" width="13.7109375" customWidth="1"/>
    <col min="17" max="18" width="13.7109375" style="2" customWidth="1"/>
    <col min="19" max="19" width="20.7109375" style="2" customWidth="1"/>
    <col min="20" max="22" width="20.7109375" style="19" customWidth="1"/>
    <col min="23" max="23" width="10.28515625" customWidth="1"/>
    <col min="25" max="40" width="16.7109375" customWidth="1"/>
  </cols>
  <sheetData>
    <row r="1" spans="1:40" ht="75" customHeight="1">
      <c r="A1" s="4" t="s">
        <v>329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67" t="s">
        <v>17</v>
      </c>
      <c r="S1" s="67" t="s">
        <v>18</v>
      </c>
      <c r="T1" s="12" t="s">
        <v>19</v>
      </c>
      <c r="U1" s="12" t="s">
        <v>20</v>
      </c>
      <c r="V1" s="3" t="s">
        <v>21</v>
      </c>
      <c r="W1" s="3" t="s">
        <v>22</v>
      </c>
      <c r="X1" s="3" t="s">
        <v>23</v>
      </c>
      <c r="Y1" s="3" t="s">
        <v>862</v>
      </c>
      <c r="Z1" s="3" t="s">
        <v>863</v>
      </c>
      <c r="AA1" s="3" t="s">
        <v>864</v>
      </c>
      <c r="AB1" s="3" t="s">
        <v>865</v>
      </c>
      <c r="AC1" s="3" t="s">
        <v>866</v>
      </c>
      <c r="AD1" s="3" t="s">
        <v>867</v>
      </c>
      <c r="AE1" s="3" t="s">
        <v>868</v>
      </c>
      <c r="AF1" s="3" t="s">
        <v>869</v>
      </c>
      <c r="AG1" s="3" t="s">
        <v>870</v>
      </c>
      <c r="AH1" s="3" t="s">
        <v>871</v>
      </c>
      <c r="AI1" s="3" t="s">
        <v>872</v>
      </c>
      <c r="AJ1" s="3" t="s">
        <v>873</v>
      </c>
      <c r="AK1" s="3" t="s">
        <v>874</v>
      </c>
      <c r="AL1" s="3" t="s">
        <v>875</v>
      </c>
      <c r="AM1" s="3" t="s">
        <v>876</v>
      </c>
      <c r="AN1" s="3" t="s">
        <v>877</v>
      </c>
    </row>
    <row r="2" spans="1:40" ht="14.85" customHeight="1">
      <c r="A2" s="14" t="s">
        <v>330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65"/>
      <c r="S2" s="66"/>
      <c r="T2" s="32"/>
      <c r="U2" s="32"/>
      <c r="V2" s="39"/>
      <c r="W2" s="39"/>
      <c r="X2" s="39"/>
    </row>
    <row r="3" spans="1:40" ht="14.85" customHeight="1">
      <c r="A3" t="s">
        <v>331</v>
      </c>
      <c r="B3" s="2" t="s">
        <v>25</v>
      </c>
      <c r="C3" s="2" t="s">
        <v>25</v>
      </c>
      <c r="D3" s="2" t="s">
        <v>25</v>
      </c>
      <c r="E3" s="2" t="s">
        <v>25</v>
      </c>
      <c r="F3" s="2" t="s">
        <v>25</v>
      </c>
      <c r="G3" s="2" t="s">
        <v>25</v>
      </c>
      <c r="H3" s="2" t="s">
        <v>25</v>
      </c>
      <c r="I3" s="2" t="s">
        <v>25</v>
      </c>
      <c r="J3" s="2" t="s">
        <v>25</v>
      </c>
      <c r="K3" s="2" t="s">
        <v>25</v>
      </c>
      <c r="L3" s="2" t="s">
        <v>25</v>
      </c>
      <c r="M3" s="2" t="s">
        <v>25</v>
      </c>
      <c r="N3" s="2" t="s">
        <v>25</v>
      </c>
      <c r="O3" s="64" t="s">
        <v>25</v>
      </c>
      <c r="P3" s="2">
        <f>COUNTIF(B3:O3,"✔")</f>
        <v>14</v>
      </c>
      <c r="Q3" s="1">
        <f>P3/14</f>
        <v>1</v>
      </c>
      <c r="R3" s="4" t="s">
        <v>26</v>
      </c>
      <c r="S3" t="s">
        <v>332</v>
      </c>
      <c r="T3" t="s">
        <v>34</v>
      </c>
      <c r="U3" s="2" t="s">
        <v>172</v>
      </c>
      <c r="V3" t="s">
        <v>173</v>
      </c>
      <c r="W3" t="s">
        <v>31</v>
      </c>
      <c r="X3" t="s">
        <v>31</v>
      </c>
      <c r="Y3" t="s">
        <v>989</v>
      </c>
      <c r="AD3" t="s">
        <v>879</v>
      </c>
      <c r="AG3" t="s">
        <v>910</v>
      </c>
      <c r="AM3" t="s">
        <v>881</v>
      </c>
    </row>
    <row r="4" spans="1:40" ht="14.85" customHeight="1">
      <c r="A4" t="s">
        <v>333</v>
      </c>
      <c r="B4" s="2" t="s">
        <v>25</v>
      </c>
      <c r="C4" s="2" t="s">
        <v>25</v>
      </c>
      <c r="D4" s="2" t="s">
        <v>25</v>
      </c>
      <c r="E4" s="2" t="s">
        <v>25</v>
      </c>
      <c r="F4" s="2" t="s">
        <v>25</v>
      </c>
      <c r="G4" s="2" t="s">
        <v>25</v>
      </c>
      <c r="H4" s="2" t="s">
        <v>25</v>
      </c>
      <c r="I4" s="2" t="s">
        <v>25</v>
      </c>
      <c r="J4" s="2" t="s">
        <v>25</v>
      </c>
      <c r="K4" s="2" t="s">
        <v>25</v>
      </c>
      <c r="L4" s="2" t="s">
        <v>25</v>
      </c>
      <c r="M4" s="2" t="s">
        <v>25</v>
      </c>
      <c r="N4" s="2" t="s">
        <v>25</v>
      </c>
      <c r="O4" s="64" t="s">
        <v>25</v>
      </c>
      <c r="P4" s="2">
        <f>COUNTIF(B4:O4,"✔")</f>
        <v>14</v>
      </c>
      <c r="Q4" s="1">
        <f>P4/14</f>
        <v>1</v>
      </c>
      <c r="R4" s="4" t="s">
        <v>26</v>
      </c>
      <c r="S4" t="s">
        <v>334</v>
      </c>
      <c r="T4" t="s">
        <v>34</v>
      </c>
      <c r="U4" s="2" t="s">
        <v>29</v>
      </c>
      <c r="V4" t="s">
        <v>335</v>
      </c>
      <c r="W4" t="s">
        <v>85</v>
      </c>
      <c r="X4" t="s">
        <v>336</v>
      </c>
      <c r="Y4" t="s">
        <v>990</v>
      </c>
      <c r="AD4" t="s">
        <v>883</v>
      </c>
      <c r="AG4" t="s">
        <v>910</v>
      </c>
      <c r="AM4" t="s">
        <v>881</v>
      </c>
    </row>
    <row r="5" spans="1:40" ht="14.85" customHeight="1">
      <c r="A5" s="7" t="s">
        <v>337</v>
      </c>
      <c r="B5" s="2" t="s">
        <v>25</v>
      </c>
      <c r="C5" s="5" t="s">
        <v>33</v>
      </c>
      <c r="D5" s="5" t="s">
        <v>33</v>
      </c>
      <c r="E5" s="5" t="s">
        <v>33</v>
      </c>
      <c r="F5" s="5" t="s">
        <v>33</v>
      </c>
      <c r="G5" s="2" t="s">
        <v>25</v>
      </c>
      <c r="H5" s="5" t="s">
        <v>33</v>
      </c>
      <c r="I5" s="5" t="s">
        <v>33</v>
      </c>
      <c r="J5" s="2" t="s">
        <v>25</v>
      </c>
      <c r="K5" s="2" t="s">
        <v>25</v>
      </c>
      <c r="L5" s="2" t="s">
        <v>25</v>
      </c>
      <c r="M5" s="2" t="s">
        <v>25</v>
      </c>
      <c r="N5" s="5" t="s">
        <v>33</v>
      </c>
      <c r="O5" s="5" t="s">
        <v>33</v>
      </c>
      <c r="P5" s="2">
        <f>COUNTIF(B5:O5,"✔")</f>
        <v>6</v>
      </c>
      <c r="Q5" s="1">
        <f>P5/14</f>
        <v>0.42857142857142855</v>
      </c>
      <c r="R5" s="4" t="s">
        <v>26</v>
      </c>
      <c r="S5" t="s">
        <v>334</v>
      </c>
      <c r="T5" s="34" t="s">
        <v>34</v>
      </c>
      <c r="U5" s="33" t="s">
        <v>172</v>
      </c>
      <c r="V5" s="34" t="s">
        <v>338</v>
      </c>
      <c r="W5" s="34" t="s">
        <v>339</v>
      </c>
      <c r="X5" s="34" t="s">
        <v>340</v>
      </c>
      <c r="Y5" t="s">
        <v>991</v>
      </c>
      <c r="AD5" t="s">
        <v>883</v>
      </c>
      <c r="AG5" t="s">
        <v>910</v>
      </c>
      <c r="AM5" t="s">
        <v>881</v>
      </c>
    </row>
    <row r="6" spans="1:40" ht="14.85" customHeight="1">
      <c r="A6" t="s">
        <v>341</v>
      </c>
      <c r="B6" s="5" t="s">
        <v>33</v>
      </c>
      <c r="C6" s="2" t="s">
        <v>25</v>
      </c>
      <c r="D6" s="5" t="s">
        <v>33</v>
      </c>
      <c r="E6" s="5" t="s">
        <v>33</v>
      </c>
      <c r="F6" s="5" t="s">
        <v>33</v>
      </c>
      <c r="G6" s="2" t="s">
        <v>25</v>
      </c>
      <c r="H6" s="5" t="s">
        <v>33</v>
      </c>
      <c r="I6" s="5" t="s">
        <v>33</v>
      </c>
      <c r="J6" s="2" t="s">
        <v>25</v>
      </c>
      <c r="K6" s="2" t="s">
        <v>25</v>
      </c>
      <c r="L6" s="2" t="s">
        <v>25</v>
      </c>
      <c r="M6" s="5" t="s">
        <v>33</v>
      </c>
      <c r="N6" s="2" t="s">
        <v>25</v>
      </c>
      <c r="O6" s="5" t="s">
        <v>33</v>
      </c>
      <c r="P6" s="2">
        <f>COUNTIF(B6:O6,"✔")</f>
        <v>6</v>
      </c>
      <c r="Q6" s="1">
        <f>P6/14</f>
        <v>0.42857142857142855</v>
      </c>
      <c r="R6" s="4" t="s">
        <v>26</v>
      </c>
      <c r="S6" t="s">
        <v>334</v>
      </c>
      <c r="T6" s="34" t="s">
        <v>34</v>
      </c>
      <c r="U6" s="33" t="s">
        <v>52</v>
      </c>
      <c r="V6" s="34" t="s">
        <v>342</v>
      </c>
      <c r="W6" s="34" t="s">
        <v>343</v>
      </c>
      <c r="X6" s="40" t="s">
        <v>344</v>
      </c>
      <c r="Y6" t="s">
        <v>992</v>
      </c>
      <c r="AD6" t="s">
        <v>883</v>
      </c>
      <c r="AG6" t="s">
        <v>884</v>
      </c>
      <c r="AM6" t="s">
        <v>916</v>
      </c>
      <c r="AN6" t="s">
        <v>342</v>
      </c>
    </row>
    <row r="7" spans="1:40" ht="14.85" customHeight="1">
      <c r="B7" s="5"/>
      <c r="C7" s="2"/>
      <c r="D7" s="5"/>
      <c r="E7" s="5"/>
      <c r="F7" s="5"/>
      <c r="G7" s="2"/>
      <c r="H7" s="5"/>
      <c r="I7" s="5"/>
      <c r="J7" s="2"/>
      <c r="K7" s="2"/>
      <c r="L7" s="2"/>
      <c r="M7" s="5"/>
      <c r="N7" s="2"/>
      <c r="O7" s="2"/>
      <c r="P7" s="2"/>
      <c r="Q7" s="1"/>
      <c r="R7" s="4"/>
      <c r="S7"/>
      <c r="T7" s="34" t="s">
        <v>34</v>
      </c>
      <c r="U7" s="33" t="s">
        <v>172</v>
      </c>
      <c r="V7" s="34" t="s">
        <v>338</v>
      </c>
      <c r="W7" s="34" t="s">
        <v>339</v>
      </c>
      <c r="X7" s="40" t="s">
        <v>340</v>
      </c>
    </row>
    <row r="8" spans="1:40" ht="14.85" customHeight="1">
      <c r="A8" t="s">
        <v>345</v>
      </c>
      <c r="B8" s="5" t="s">
        <v>33</v>
      </c>
      <c r="C8" s="2" t="s">
        <v>25</v>
      </c>
      <c r="D8" s="2" t="s">
        <v>25</v>
      </c>
      <c r="E8" s="5" t="s">
        <v>33</v>
      </c>
      <c r="F8" s="5" t="s">
        <v>33</v>
      </c>
      <c r="G8" s="2" t="s">
        <v>25</v>
      </c>
      <c r="H8" s="5" t="s">
        <v>33</v>
      </c>
      <c r="I8" s="5" t="s">
        <v>33</v>
      </c>
      <c r="J8" s="2" t="s">
        <v>25</v>
      </c>
      <c r="K8" s="2" t="s">
        <v>25</v>
      </c>
      <c r="L8" s="2" t="s">
        <v>25</v>
      </c>
      <c r="M8" s="2" t="s">
        <v>25</v>
      </c>
      <c r="N8" s="2" t="s">
        <v>25</v>
      </c>
      <c r="O8" s="64" t="s">
        <v>25</v>
      </c>
      <c r="P8" s="2">
        <f>COUNTIF(B8:O8,"✔")</f>
        <v>9</v>
      </c>
      <c r="Q8" s="1">
        <f>P8/14</f>
        <v>0.6428571428571429</v>
      </c>
      <c r="R8" s="4" t="s">
        <v>26</v>
      </c>
      <c r="S8" t="s">
        <v>334</v>
      </c>
      <c r="T8" s="19" t="s">
        <v>28</v>
      </c>
      <c r="U8" s="2" t="s">
        <v>29</v>
      </c>
      <c r="V8" t="s">
        <v>346</v>
      </c>
      <c r="W8" t="s">
        <v>347</v>
      </c>
      <c r="X8" t="s">
        <v>348</v>
      </c>
      <c r="Y8" t="s">
        <v>993</v>
      </c>
      <c r="AD8" t="s">
        <v>886</v>
      </c>
      <c r="AG8" t="s">
        <v>884</v>
      </c>
      <c r="AM8" t="s">
        <v>881</v>
      </c>
    </row>
    <row r="9" spans="1:40" ht="14.85" customHeight="1">
      <c r="A9" s="14" t="s">
        <v>349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17"/>
      <c r="R9" s="65"/>
      <c r="S9" s="66"/>
      <c r="T9" s="32"/>
      <c r="U9" s="32"/>
      <c r="V9" s="39"/>
      <c r="W9" s="39"/>
      <c r="X9" s="39"/>
    </row>
    <row r="10" spans="1:40" ht="14.85" customHeight="1">
      <c r="A10" t="s">
        <v>350</v>
      </c>
      <c r="B10" s="2" t="s">
        <v>25</v>
      </c>
      <c r="C10" s="2" t="s">
        <v>25</v>
      </c>
      <c r="D10" s="2" t="s">
        <v>25</v>
      </c>
      <c r="E10" s="5" t="s">
        <v>33</v>
      </c>
      <c r="F10" s="2" t="s">
        <v>25</v>
      </c>
      <c r="G10" s="2" t="s">
        <v>25</v>
      </c>
      <c r="H10" s="5" t="s">
        <v>33</v>
      </c>
      <c r="I10" s="5" t="s">
        <v>33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25</v>
      </c>
      <c r="O10" s="64" t="s">
        <v>25</v>
      </c>
      <c r="P10" s="2">
        <f>COUNTIF(B10:O10,"✔")</f>
        <v>11</v>
      </c>
      <c r="Q10" s="1">
        <f>P10/14</f>
        <v>0.7857142857142857</v>
      </c>
      <c r="R10" s="4" t="s">
        <v>26</v>
      </c>
      <c r="S10" t="s">
        <v>351</v>
      </c>
      <c r="T10" s="19" t="s">
        <v>34</v>
      </c>
      <c r="U10" s="2" t="s">
        <v>312</v>
      </c>
      <c r="V10" s="19" t="s">
        <v>352</v>
      </c>
      <c r="W10" s="19" t="s">
        <v>353</v>
      </c>
      <c r="X10" s="19" t="s">
        <v>354</v>
      </c>
      <c r="Y10" t="s">
        <v>994</v>
      </c>
      <c r="AD10" t="s">
        <v>883</v>
      </c>
      <c r="AG10" t="s">
        <v>884</v>
      </c>
      <c r="AM10" t="s">
        <v>881</v>
      </c>
    </row>
    <row r="11" spans="1:40" ht="14.85" customHeight="1">
      <c r="B11" s="2"/>
      <c r="C11" s="2"/>
      <c r="D11" s="2"/>
      <c r="E11" s="5"/>
      <c r="F11" s="2"/>
      <c r="G11" s="2"/>
      <c r="H11" s="5"/>
      <c r="I11" s="5"/>
      <c r="J11" s="2"/>
      <c r="K11" s="2"/>
      <c r="L11" s="2"/>
      <c r="M11" s="2"/>
      <c r="N11" s="2"/>
      <c r="O11" s="2"/>
      <c r="P11" s="2"/>
      <c r="Q11" s="1"/>
      <c r="R11" s="4"/>
      <c r="S11"/>
      <c r="T11" s="19" t="s">
        <v>34</v>
      </c>
      <c r="U11" s="2" t="s">
        <v>312</v>
      </c>
      <c r="V11" s="19" t="s">
        <v>352</v>
      </c>
      <c r="W11" s="19" t="s">
        <v>253</v>
      </c>
      <c r="X11" s="19" t="s">
        <v>355</v>
      </c>
    </row>
    <row r="12" spans="1:40" ht="14.85" customHeight="1">
      <c r="A12" t="s">
        <v>356</v>
      </c>
      <c r="B12" s="2" t="s">
        <v>25</v>
      </c>
      <c r="C12" s="2" t="s">
        <v>25</v>
      </c>
      <c r="D12" s="5" t="s">
        <v>33</v>
      </c>
      <c r="E12" s="5" t="s">
        <v>33</v>
      </c>
      <c r="F12" s="2" t="s">
        <v>25</v>
      </c>
      <c r="G12" s="2" t="s">
        <v>25</v>
      </c>
      <c r="H12" s="5" t="s">
        <v>33</v>
      </c>
      <c r="I12" s="5" t="s">
        <v>33</v>
      </c>
      <c r="J12" s="2" t="s">
        <v>25</v>
      </c>
      <c r="K12" s="2" t="s">
        <v>25</v>
      </c>
      <c r="L12" s="2" t="s">
        <v>25</v>
      </c>
      <c r="M12" s="2" t="s">
        <v>25</v>
      </c>
      <c r="N12" s="2" t="s">
        <v>25</v>
      </c>
      <c r="O12" s="64" t="s">
        <v>25</v>
      </c>
      <c r="P12" s="2">
        <f>COUNTIF(B12:O12,"✔")</f>
        <v>10</v>
      </c>
      <c r="Q12" s="1">
        <f>P12/14</f>
        <v>0.7142857142857143</v>
      </c>
      <c r="R12" s="4" t="s">
        <v>26</v>
      </c>
      <c r="S12" t="s">
        <v>334</v>
      </c>
      <c r="T12" s="41" t="s">
        <v>34</v>
      </c>
      <c r="U12" s="42" t="s">
        <v>172</v>
      </c>
      <c r="V12" s="43" t="s">
        <v>173</v>
      </c>
      <c r="W12" s="19" t="s">
        <v>31</v>
      </c>
      <c r="X12" s="19" t="s">
        <v>31</v>
      </c>
      <c r="Y12" t="s">
        <v>995</v>
      </c>
      <c r="AD12" t="s">
        <v>879</v>
      </c>
      <c r="AG12" t="s">
        <v>910</v>
      </c>
      <c r="AM12" t="s">
        <v>881</v>
      </c>
    </row>
    <row r="13" spans="1:40" ht="14.85" customHeight="1">
      <c r="A13" t="s">
        <v>357</v>
      </c>
      <c r="B13" s="5" t="s">
        <v>33</v>
      </c>
      <c r="C13" s="2" t="s">
        <v>25</v>
      </c>
      <c r="D13" s="5" t="s">
        <v>33</v>
      </c>
      <c r="E13" s="5" t="s">
        <v>33</v>
      </c>
      <c r="F13" s="5" t="s">
        <v>33</v>
      </c>
      <c r="G13" s="2" t="s">
        <v>25</v>
      </c>
      <c r="H13" s="5" t="s">
        <v>33</v>
      </c>
      <c r="I13" s="5" t="s">
        <v>33</v>
      </c>
      <c r="J13" s="5" t="s">
        <v>33</v>
      </c>
      <c r="K13" s="2" t="s">
        <v>25</v>
      </c>
      <c r="L13" s="2" t="s">
        <v>25</v>
      </c>
      <c r="M13" s="5" t="s">
        <v>33</v>
      </c>
      <c r="N13" s="5" t="s">
        <v>33</v>
      </c>
      <c r="O13" s="64" t="s">
        <v>25</v>
      </c>
      <c r="P13" s="2">
        <f>COUNTIF(B13:O13,"✔")</f>
        <v>5</v>
      </c>
      <c r="Q13" s="1">
        <f>P13/14</f>
        <v>0.35714285714285715</v>
      </c>
      <c r="R13" s="4" t="s">
        <v>26</v>
      </c>
      <c r="S13" t="s">
        <v>334</v>
      </c>
      <c r="T13" s="44" t="s">
        <v>34</v>
      </c>
      <c r="U13" s="33" t="s">
        <v>172</v>
      </c>
      <c r="V13" s="34" t="s">
        <v>338</v>
      </c>
      <c r="W13" s="34" t="s">
        <v>358</v>
      </c>
      <c r="X13" s="34" t="s">
        <v>359</v>
      </c>
      <c r="Y13" t="s">
        <v>996</v>
      </c>
      <c r="AD13" t="s">
        <v>883</v>
      </c>
      <c r="AG13" t="s">
        <v>910</v>
      </c>
      <c r="AM13" t="s">
        <v>881</v>
      </c>
    </row>
    <row r="14" spans="1:40" ht="14.85" customHeight="1">
      <c r="A14" s="14" t="s">
        <v>360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17"/>
      <c r="R14" s="65"/>
      <c r="S14" s="66"/>
      <c r="T14" s="32"/>
      <c r="U14" s="32"/>
      <c r="V14" s="39"/>
      <c r="W14" s="39"/>
      <c r="X14" s="39"/>
    </row>
    <row r="15" spans="1:40" ht="14.85" customHeight="1">
      <c r="A15" t="s">
        <v>361</v>
      </c>
      <c r="B15" s="2" t="s">
        <v>25</v>
      </c>
      <c r="C15" s="2" t="s">
        <v>25</v>
      </c>
      <c r="D15" s="2" t="s">
        <v>25</v>
      </c>
      <c r="E15" s="5" t="s">
        <v>33</v>
      </c>
      <c r="F15" s="5" t="s">
        <v>33</v>
      </c>
      <c r="G15" s="2" t="s">
        <v>25</v>
      </c>
      <c r="H15" s="5" t="s">
        <v>33</v>
      </c>
      <c r="I15" s="5" t="s">
        <v>33</v>
      </c>
      <c r="J15" s="2" t="s">
        <v>25</v>
      </c>
      <c r="K15" s="2" t="s">
        <v>25</v>
      </c>
      <c r="L15" s="5" t="s">
        <v>33</v>
      </c>
      <c r="M15" s="2" t="s">
        <v>25</v>
      </c>
      <c r="N15" s="2" t="s">
        <v>25</v>
      </c>
      <c r="O15" s="5" t="s">
        <v>33</v>
      </c>
      <c r="P15" s="2">
        <f>COUNTIF(B15:O15,"✔")</f>
        <v>8</v>
      </c>
      <c r="Q15" s="1">
        <f>P15/14</f>
        <v>0.5714285714285714</v>
      </c>
      <c r="R15" s="4" t="s">
        <v>26</v>
      </c>
      <c r="S15" t="s">
        <v>351</v>
      </c>
      <c r="T15" s="41" t="s">
        <v>34</v>
      </c>
      <c r="U15" s="42" t="s">
        <v>172</v>
      </c>
      <c r="V15" s="41" t="s">
        <v>173</v>
      </c>
      <c r="W15" s="41" t="s">
        <v>362</v>
      </c>
      <c r="X15" s="41" t="s">
        <v>43</v>
      </c>
      <c r="Y15" t="s">
        <v>997</v>
      </c>
      <c r="AD15" t="s">
        <v>886</v>
      </c>
      <c r="AG15" t="s">
        <v>910</v>
      </c>
      <c r="AM15" t="s">
        <v>881</v>
      </c>
    </row>
    <row r="16" spans="1:40" ht="14.85" customHeight="1">
      <c r="A16" t="s">
        <v>363</v>
      </c>
      <c r="B16" s="2" t="s">
        <v>25</v>
      </c>
      <c r="C16" s="2" t="s">
        <v>25</v>
      </c>
      <c r="D16" s="5" t="s">
        <v>33</v>
      </c>
      <c r="E16" s="5" t="s">
        <v>33</v>
      </c>
      <c r="F16" s="5" t="s">
        <v>33</v>
      </c>
      <c r="G16" s="2" t="s">
        <v>25</v>
      </c>
      <c r="H16" s="5" t="s">
        <v>33</v>
      </c>
      <c r="I16" s="5" t="s">
        <v>33</v>
      </c>
      <c r="J16" s="2" t="s">
        <v>25</v>
      </c>
      <c r="K16" s="2" t="s">
        <v>25</v>
      </c>
      <c r="L16" s="5" t="s">
        <v>33</v>
      </c>
      <c r="M16" s="5" t="s">
        <v>33</v>
      </c>
      <c r="N16" s="2" t="s">
        <v>25</v>
      </c>
      <c r="O16" s="2" t="s">
        <v>25</v>
      </c>
      <c r="P16" s="2">
        <f>COUNTIF(B16:O16,"✔")</f>
        <v>7</v>
      </c>
      <c r="Q16" s="1">
        <f>P16/12</f>
        <v>0.58333333333333337</v>
      </c>
      <c r="R16" s="4" t="s">
        <v>26</v>
      </c>
      <c r="S16" t="s">
        <v>364</v>
      </c>
      <c r="T16" s="41" t="s">
        <v>34</v>
      </c>
      <c r="U16" s="42" t="s">
        <v>172</v>
      </c>
      <c r="V16" s="41" t="s">
        <v>173</v>
      </c>
      <c r="W16" s="41" t="s">
        <v>365</v>
      </c>
      <c r="X16" s="41" t="s">
        <v>192</v>
      </c>
      <c r="Y16" t="s">
        <v>998</v>
      </c>
      <c r="AD16" t="s">
        <v>899</v>
      </c>
      <c r="AG16" t="s">
        <v>910</v>
      </c>
      <c r="AM16" t="s">
        <v>881</v>
      </c>
    </row>
    <row r="17" spans="1:40" ht="14.85" customHeight="1">
      <c r="A17" t="s">
        <v>366</v>
      </c>
      <c r="B17" s="2" t="s">
        <v>25</v>
      </c>
      <c r="C17" s="2" t="s">
        <v>25</v>
      </c>
      <c r="D17" s="2" t="s">
        <v>25</v>
      </c>
      <c r="E17" s="5" t="s">
        <v>33</v>
      </c>
      <c r="F17" s="5" t="s">
        <v>33</v>
      </c>
      <c r="G17" s="2" t="s">
        <v>25</v>
      </c>
      <c r="H17" s="5" t="s">
        <v>33</v>
      </c>
      <c r="I17" s="5" t="s">
        <v>33</v>
      </c>
      <c r="J17" s="5" t="s">
        <v>33</v>
      </c>
      <c r="K17" s="2" t="s">
        <v>25</v>
      </c>
      <c r="L17" s="5" t="s">
        <v>33</v>
      </c>
      <c r="M17" s="5" t="s">
        <v>33</v>
      </c>
      <c r="N17" s="2" t="s">
        <v>25</v>
      </c>
      <c r="O17" s="64" t="s">
        <v>33</v>
      </c>
      <c r="P17" s="2">
        <f>COUNTIF(B17:O17,"✔")</f>
        <v>6</v>
      </c>
      <c r="Q17" s="1">
        <f>P17/12</f>
        <v>0.5</v>
      </c>
      <c r="R17" s="4" t="s">
        <v>26</v>
      </c>
      <c r="S17" t="s">
        <v>351</v>
      </c>
      <c r="T17" s="41" t="s">
        <v>34</v>
      </c>
      <c r="U17" s="42" t="s">
        <v>172</v>
      </c>
      <c r="V17" s="41" t="s">
        <v>173</v>
      </c>
      <c r="W17" s="41" t="s">
        <v>367</v>
      </c>
      <c r="X17" s="41" t="s">
        <v>192</v>
      </c>
      <c r="Y17" t="s">
        <v>999</v>
      </c>
      <c r="AD17" t="s">
        <v>899</v>
      </c>
      <c r="AG17" t="s">
        <v>910</v>
      </c>
      <c r="AM17" t="s">
        <v>881</v>
      </c>
    </row>
    <row r="18" spans="1:40" ht="14.85" customHeight="1">
      <c r="B18" s="2"/>
      <c r="C18" s="2"/>
      <c r="D18" s="2"/>
      <c r="E18" s="5"/>
      <c r="F18" s="5"/>
      <c r="G18" s="2"/>
      <c r="H18" s="5"/>
      <c r="I18" s="5"/>
      <c r="J18" s="5"/>
      <c r="K18" s="2"/>
      <c r="L18" s="5"/>
      <c r="M18" s="5"/>
      <c r="N18" s="2"/>
      <c r="O18" s="2"/>
      <c r="P18" s="2"/>
      <c r="Q18" s="1"/>
      <c r="R18" s="4"/>
      <c r="S18"/>
      <c r="T18" s="41" t="s">
        <v>34</v>
      </c>
      <c r="U18" s="42" t="s">
        <v>29</v>
      </c>
      <c r="V18" s="41" t="s">
        <v>335</v>
      </c>
      <c r="W18" s="41" t="s">
        <v>368</v>
      </c>
      <c r="X18" s="41" t="s">
        <v>138</v>
      </c>
    </row>
    <row r="19" spans="1:40" ht="14.85" customHeight="1">
      <c r="A19" t="s">
        <v>369</v>
      </c>
      <c r="B19" s="2" t="s">
        <v>25</v>
      </c>
      <c r="C19" s="2" t="s">
        <v>25</v>
      </c>
      <c r="D19" s="5" t="s">
        <v>33</v>
      </c>
      <c r="E19" s="5" t="s">
        <v>33</v>
      </c>
      <c r="F19" s="5" t="s">
        <v>33</v>
      </c>
      <c r="G19" s="2" t="s">
        <v>25</v>
      </c>
      <c r="H19" s="5" t="s">
        <v>33</v>
      </c>
      <c r="I19" s="5" t="s">
        <v>33</v>
      </c>
      <c r="J19" s="5" t="s">
        <v>33</v>
      </c>
      <c r="K19" s="2" t="s">
        <v>25</v>
      </c>
      <c r="L19" s="5" t="s">
        <v>33</v>
      </c>
      <c r="M19" s="5" t="s">
        <v>33</v>
      </c>
      <c r="N19" s="5" t="s">
        <v>33</v>
      </c>
      <c r="O19" s="5" t="s">
        <v>33</v>
      </c>
      <c r="P19" s="2">
        <f>COUNTIF(B19:O19,"✔")</f>
        <v>4</v>
      </c>
      <c r="Q19" s="1">
        <f>P19/12</f>
        <v>0.33333333333333331</v>
      </c>
      <c r="R19" s="4" t="s">
        <v>26</v>
      </c>
      <c r="S19" t="s">
        <v>370</v>
      </c>
      <c r="T19" s="44"/>
      <c r="U19" s="2" t="s">
        <v>33</v>
      </c>
      <c r="V19" s="34"/>
      <c r="W19" s="34"/>
      <c r="X19" s="34"/>
      <c r="Y19" t="s">
        <v>1000</v>
      </c>
      <c r="AM19" t="s">
        <v>931</v>
      </c>
    </row>
    <row r="20" spans="1:40" ht="14.85" customHeight="1">
      <c r="A20" t="s">
        <v>371</v>
      </c>
      <c r="B20" s="2" t="s">
        <v>25</v>
      </c>
      <c r="C20" s="2" t="s">
        <v>25</v>
      </c>
      <c r="D20" s="5" t="s">
        <v>33</v>
      </c>
      <c r="E20" s="2" t="s">
        <v>25</v>
      </c>
      <c r="F20" s="2" t="s">
        <v>25</v>
      </c>
      <c r="G20" s="2" t="s">
        <v>25</v>
      </c>
      <c r="H20" s="5" t="s">
        <v>33</v>
      </c>
      <c r="I20" s="5" t="s">
        <v>33</v>
      </c>
      <c r="J20" s="2" t="s">
        <v>25</v>
      </c>
      <c r="K20" s="2" t="s">
        <v>25</v>
      </c>
      <c r="L20" s="5" t="s">
        <v>33</v>
      </c>
      <c r="M20" s="5" t="s">
        <v>33</v>
      </c>
      <c r="N20" s="2" t="s">
        <v>25</v>
      </c>
      <c r="O20" s="64" t="s">
        <v>25</v>
      </c>
      <c r="P20" s="2">
        <f>COUNTIF(B20:O20,"✔")</f>
        <v>9</v>
      </c>
      <c r="Q20" s="1">
        <f>P20/12</f>
        <v>0.75</v>
      </c>
      <c r="R20" s="4" t="s">
        <v>26</v>
      </c>
      <c r="S20" t="s">
        <v>351</v>
      </c>
      <c r="T20" s="43" t="s">
        <v>34</v>
      </c>
      <c r="U20" s="45" t="s">
        <v>312</v>
      </c>
      <c r="V20" s="43" t="s">
        <v>352</v>
      </c>
      <c r="W20" s="43" t="s">
        <v>253</v>
      </c>
      <c r="X20" s="43" t="s">
        <v>355</v>
      </c>
      <c r="Y20" t="s">
        <v>1001</v>
      </c>
      <c r="AD20" t="s">
        <v>883</v>
      </c>
      <c r="AG20" t="s">
        <v>884</v>
      </c>
      <c r="AM20" t="s">
        <v>881</v>
      </c>
    </row>
    <row r="21" spans="1:40" ht="14.85" customHeight="1">
      <c r="A21" t="s">
        <v>372</v>
      </c>
      <c r="B21" s="5" t="s">
        <v>33</v>
      </c>
      <c r="C21" s="2" t="s">
        <v>25</v>
      </c>
      <c r="D21" s="5" t="s">
        <v>33</v>
      </c>
      <c r="E21" s="5" t="s">
        <v>33</v>
      </c>
      <c r="F21" s="2" t="s">
        <v>25</v>
      </c>
      <c r="G21" s="2" t="s">
        <v>25</v>
      </c>
      <c r="H21" s="5" t="s">
        <v>33</v>
      </c>
      <c r="I21" s="5" t="s">
        <v>33</v>
      </c>
      <c r="J21" s="2" t="s">
        <v>25</v>
      </c>
      <c r="K21" s="2" t="s">
        <v>25</v>
      </c>
      <c r="L21" s="5" t="s">
        <v>33</v>
      </c>
      <c r="M21" s="5" t="s">
        <v>33</v>
      </c>
      <c r="N21" s="2" t="s">
        <v>25</v>
      </c>
      <c r="O21" s="64" t="s">
        <v>33</v>
      </c>
      <c r="P21" s="2">
        <f>COUNTIF(B21:O21,"✔")</f>
        <v>6</v>
      </c>
      <c r="Q21" s="1">
        <f>P21/12</f>
        <v>0.5</v>
      </c>
      <c r="R21" s="4" t="s">
        <v>26</v>
      </c>
      <c r="S21" t="s">
        <v>351</v>
      </c>
      <c r="T21" s="41" t="s">
        <v>34</v>
      </c>
      <c r="U21" s="42" t="s">
        <v>312</v>
      </c>
      <c r="V21" s="41" t="s">
        <v>373</v>
      </c>
      <c r="W21" s="41" t="s">
        <v>374</v>
      </c>
      <c r="X21" s="41" t="s">
        <v>192</v>
      </c>
      <c r="Y21" t="s">
        <v>1002</v>
      </c>
      <c r="AD21" t="s">
        <v>899</v>
      </c>
      <c r="AG21" t="s">
        <v>884</v>
      </c>
      <c r="AM21" t="s">
        <v>881</v>
      </c>
    </row>
    <row r="22" spans="1:40" ht="14.85" customHeight="1">
      <c r="A22" s="14" t="s">
        <v>375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17"/>
      <c r="R22" s="65"/>
      <c r="S22" s="66"/>
      <c r="T22" s="32"/>
      <c r="U22" s="32"/>
      <c r="V22" s="39"/>
      <c r="W22" s="39"/>
      <c r="X22" s="39"/>
    </row>
    <row r="23" spans="1:40" ht="14.85" customHeight="1">
      <c r="A23" t="s">
        <v>376</v>
      </c>
      <c r="B23" s="2" t="s">
        <v>25</v>
      </c>
      <c r="C23" s="2" t="s">
        <v>25</v>
      </c>
      <c r="D23" s="5" t="s">
        <v>33</v>
      </c>
      <c r="E23" s="5" t="s">
        <v>33</v>
      </c>
      <c r="F23" s="5" t="s">
        <v>33</v>
      </c>
      <c r="G23" s="2" t="s">
        <v>25</v>
      </c>
      <c r="H23" s="5" t="s">
        <v>33</v>
      </c>
      <c r="I23" s="5" t="s">
        <v>33</v>
      </c>
      <c r="J23" s="5" t="s">
        <v>33</v>
      </c>
      <c r="K23" s="2" t="s">
        <v>25</v>
      </c>
      <c r="L23" s="5" t="s">
        <v>33</v>
      </c>
      <c r="M23" s="5" t="s">
        <v>33</v>
      </c>
      <c r="N23" s="5" t="s">
        <v>33</v>
      </c>
      <c r="O23" s="5" t="s">
        <v>33</v>
      </c>
      <c r="P23" s="2">
        <f t="shared" ref="P23:P30" si="0">COUNTIF(B23:O23,"✔")</f>
        <v>4</v>
      </c>
      <c r="Q23" s="1">
        <f t="shared" ref="Q23:Q30" si="1">P23/12</f>
        <v>0.33333333333333331</v>
      </c>
      <c r="R23" s="4" t="s">
        <v>26</v>
      </c>
      <c r="S23" t="s">
        <v>377</v>
      </c>
      <c r="T23" s="34" t="s">
        <v>34</v>
      </c>
      <c r="U23" s="33" t="s">
        <v>29</v>
      </c>
      <c r="V23" s="34" t="s">
        <v>60</v>
      </c>
      <c r="W23" s="34" t="s">
        <v>378</v>
      </c>
      <c r="X23" s="34" t="s">
        <v>379</v>
      </c>
      <c r="Y23" t="s">
        <v>1003</v>
      </c>
      <c r="AD23" t="s">
        <v>950</v>
      </c>
      <c r="AG23" t="s">
        <v>884</v>
      </c>
      <c r="AM23" t="s">
        <v>881</v>
      </c>
    </row>
    <row r="24" spans="1:40" ht="14.85" customHeight="1">
      <c r="A24" t="s">
        <v>380</v>
      </c>
      <c r="B24" s="2" t="s">
        <v>25</v>
      </c>
      <c r="C24" s="5" t="s">
        <v>33</v>
      </c>
      <c r="D24" s="5" t="s">
        <v>33</v>
      </c>
      <c r="E24" s="5" t="s">
        <v>33</v>
      </c>
      <c r="F24" s="5" t="s">
        <v>33</v>
      </c>
      <c r="G24" s="2" t="s">
        <v>25</v>
      </c>
      <c r="H24" s="5" t="s">
        <v>33</v>
      </c>
      <c r="I24" s="5" t="s">
        <v>33</v>
      </c>
      <c r="J24" s="5" t="s">
        <v>33</v>
      </c>
      <c r="K24" s="2" t="s">
        <v>25</v>
      </c>
      <c r="L24" s="5" t="s">
        <v>33</v>
      </c>
      <c r="M24" s="5" t="s">
        <v>33</v>
      </c>
      <c r="N24" s="5" t="s">
        <v>33</v>
      </c>
      <c r="O24" s="5" t="s">
        <v>33</v>
      </c>
      <c r="P24" s="2">
        <f t="shared" si="0"/>
        <v>3</v>
      </c>
      <c r="Q24" s="1">
        <f t="shared" si="1"/>
        <v>0.25</v>
      </c>
      <c r="R24" s="4" t="s">
        <v>26</v>
      </c>
      <c r="S24" t="s">
        <v>377</v>
      </c>
      <c r="T24" s="36" t="s">
        <v>34</v>
      </c>
      <c r="U24" s="35" t="s">
        <v>172</v>
      </c>
      <c r="V24" s="36" t="s">
        <v>173</v>
      </c>
      <c r="W24" s="36" t="s">
        <v>381</v>
      </c>
      <c r="X24" s="36" t="s">
        <v>43</v>
      </c>
      <c r="Y24" t="s">
        <v>1004</v>
      </c>
      <c r="AD24" t="s">
        <v>886</v>
      </c>
      <c r="AG24" t="s">
        <v>910</v>
      </c>
      <c r="AM24" t="s">
        <v>881</v>
      </c>
    </row>
    <row r="25" spans="1:40" ht="14.85" customHeight="1">
      <c r="A25" t="s">
        <v>382</v>
      </c>
      <c r="B25" s="2" t="s">
        <v>25</v>
      </c>
      <c r="C25" s="2" t="s">
        <v>25</v>
      </c>
      <c r="D25" s="2" t="s">
        <v>25</v>
      </c>
      <c r="E25" s="5" t="s">
        <v>33</v>
      </c>
      <c r="F25" s="2" t="s">
        <v>25</v>
      </c>
      <c r="G25" s="2" t="s">
        <v>25</v>
      </c>
      <c r="H25" s="5" t="s">
        <v>33</v>
      </c>
      <c r="I25" s="5" t="s">
        <v>33</v>
      </c>
      <c r="J25" s="2" t="s">
        <v>25</v>
      </c>
      <c r="K25" s="2" t="s">
        <v>25</v>
      </c>
      <c r="L25" s="5" t="s">
        <v>33</v>
      </c>
      <c r="M25" s="5" t="s">
        <v>33</v>
      </c>
      <c r="N25" s="2" t="s">
        <v>25</v>
      </c>
      <c r="O25" s="5" t="s">
        <v>25</v>
      </c>
      <c r="P25" s="2">
        <f t="shared" si="0"/>
        <v>9</v>
      </c>
      <c r="Q25" s="1">
        <f t="shared" si="1"/>
        <v>0.75</v>
      </c>
      <c r="R25" s="4" t="s">
        <v>26</v>
      </c>
      <c r="S25" t="s">
        <v>383</v>
      </c>
      <c r="T25" s="34" t="s">
        <v>34</v>
      </c>
      <c r="U25" s="33" t="s">
        <v>172</v>
      </c>
      <c r="V25" s="34" t="s">
        <v>173</v>
      </c>
      <c r="W25" s="34" t="s">
        <v>384</v>
      </c>
      <c r="X25" s="34" t="s">
        <v>107</v>
      </c>
      <c r="Y25" t="s">
        <v>1005</v>
      </c>
      <c r="AD25" t="s">
        <v>899</v>
      </c>
      <c r="AG25" t="s">
        <v>910</v>
      </c>
      <c r="AM25" t="s">
        <v>881</v>
      </c>
    </row>
    <row r="26" spans="1:40" ht="14.85" customHeight="1">
      <c r="A26" s="7" t="s">
        <v>385</v>
      </c>
      <c r="B26" s="5" t="s">
        <v>33</v>
      </c>
      <c r="C26" s="5" t="s">
        <v>33</v>
      </c>
      <c r="D26" s="5" t="s">
        <v>33</v>
      </c>
      <c r="E26" s="5" t="s">
        <v>33</v>
      </c>
      <c r="F26" s="5" t="s">
        <v>33</v>
      </c>
      <c r="G26" s="2" t="s">
        <v>25</v>
      </c>
      <c r="H26" s="5" t="s">
        <v>33</v>
      </c>
      <c r="I26" s="5" t="s">
        <v>33</v>
      </c>
      <c r="J26" s="5" t="s">
        <v>33</v>
      </c>
      <c r="K26" s="5" t="s">
        <v>33</v>
      </c>
      <c r="L26" s="5" t="s">
        <v>33</v>
      </c>
      <c r="M26" s="5" t="s">
        <v>33</v>
      </c>
      <c r="N26" s="5" t="s">
        <v>33</v>
      </c>
      <c r="O26" s="64" t="s">
        <v>33</v>
      </c>
      <c r="P26" s="2">
        <f t="shared" si="0"/>
        <v>1</v>
      </c>
      <c r="Q26" s="1">
        <f t="shared" si="1"/>
        <v>8.3333333333333329E-2</v>
      </c>
      <c r="R26" s="4" t="s">
        <v>65</v>
      </c>
      <c r="S26" t="s">
        <v>386</v>
      </c>
      <c r="T26" s="36" t="s">
        <v>34</v>
      </c>
      <c r="U26" s="33" t="s">
        <v>29</v>
      </c>
      <c r="V26" s="36" t="s">
        <v>161</v>
      </c>
      <c r="W26" s="36" t="s">
        <v>36</v>
      </c>
      <c r="X26" s="36" t="s">
        <v>37</v>
      </c>
      <c r="Y26" t="s">
        <v>1006</v>
      </c>
      <c r="AA26" t="s">
        <v>895</v>
      </c>
      <c r="AD26" t="s">
        <v>883</v>
      </c>
      <c r="AG26" t="s">
        <v>884</v>
      </c>
      <c r="AM26" t="s">
        <v>881</v>
      </c>
    </row>
    <row r="27" spans="1:40" ht="14.85" customHeight="1">
      <c r="A27" t="s">
        <v>387</v>
      </c>
      <c r="B27" s="2" t="s">
        <v>25</v>
      </c>
      <c r="C27" s="5" t="s">
        <v>33</v>
      </c>
      <c r="D27" s="2" t="s">
        <v>25</v>
      </c>
      <c r="E27" s="5" t="s">
        <v>33</v>
      </c>
      <c r="F27" s="5" t="s">
        <v>33</v>
      </c>
      <c r="G27" s="2" t="s">
        <v>25</v>
      </c>
      <c r="H27" s="5" t="s">
        <v>33</v>
      </c>
      <c r="I27" s="5" t="s">
        <v>33</v>
      </c>
      <c r="J27" s="5" t="s">
        <v>33</v>
      </c>
      <c r="K27" s="5" t="s">
        <v>33</v>
      </c>
      <c r="L27" s="5" t="s">
        <v>33</v>
      </c>
      <c r="M27" s="5" t="s">
        <v>33</v>
      </c>
      <c r="N27" s="5" t="s">
        <v>33</v>
      </c>
      <c r="O27" s="5" t="s">
        <v>33</v>
      </c>
      <c r="P27" s="2">
        <f t="shared" si="0"/>
        <v>3</v>
      </c>
      <c r="Q27" s="1">
        <f t="shared" si="1"/>
        <v>0.25</v>
      </c>
      <c r="R27" s="4" t="s">
        <v>26</v>
      </c>
      <c r="S27" t="s">
        <v>130</v>
      </c>
      <c r="T27" s="34" t="s">
        <v>34</v>
      </c>
      <c r="U27" s="33" t="s">
        <v>29</v>
      </c>
      <c r="V27" s="34" t="s">
        <v>161</v>
      </c>
      <c r="W27" s="34" t="s">
        <v>162</v>
      </c>
      <c r="X27" s="34" t="s">
        <v>163</v>
      </c>
      <c r="Y27" t="s">
        <v>1007</v>
      </c>
      <c r="AD27" t="s">
        <v>893</v>
      </c>
      <c r="AG27" t="s">
        <v>884</v>
      </c>
      <c r="AM27" t="s">
        <v>881</v>
      </c>
    </row>
    <row r="28" spans="1:40" ht="14.85" customHeight="1">
      <c r="A28" t="s">
        <v>388</v>
      </c>
      <c r="B28" s="2" t="s">
        <v>25</v>
      </c>
      <c r="C28" s="5" t="s">
        <v>33</v>
      </c>
      <c r="D28" s="5" t="s">
        <v>33</v>
      </c>
      <c r="E28" s="5" t="s">
        <v>33</v>
      </c>
      <c r="F28" s="5" t="s">
        <v>33</v>
      </c>
      <c r="G28" s="5" t="s">
        <v>33</v>
      </c>
      <c r="H28" s="5" t="s">
        <v>33</v>
      </c>
      <c r="I28" s="5" t="s">
        <v>33</v>
      </c>
      <c r="J28" s="2" t="s">
        <v>25</v>
      </c>
      <c r="K28" s="5" t="s">
        <v>33</v>
      </c>
      <c r="L28" s="5" t="s">
        <v>33</v>
      </c>
      <c r="M28" s="2" t="s">
        <v>25</v>
      </c>
      <c r="N28" s="5" t="s">
        <v>33</v>
      </c>
      <c r="O28" s="5" t="s">
        <v>33</v>
      </c>
      <c r="P28" s="2">
        <f t="shared" si="0"/>
        <v>3</v>
      </c>
      <c r="Q28" s="1">
        <f t="shared" si="1"/>
        <v>0.25</v>
      </c>
      <c r="R28" s="4" t="s">
        <v>26</v>
      </c>
      <c r="S28" t="s">
        <v>141</v>
      </c>
      <c r="T28" s="34" t="s">
        <v>34</v>
      </c>
      <c r="U28" s="33" t="s">
        <v>29</v>
      </c>
      <c r="V28" s="34" t="s">
        <v>35</v>
      </c>
      <c r="W28" s="34" t="s">
        <v>142</v>
      </c>
      <c r="X28" s="34" t="s">
        <v>143</v>
      </c>
      <c r="Y28" t="s">
        <v>1008</v>
      </c>
      <c r="AD28" t="s">
        <v>879</v>
      </c>
      <c r="AG28" t="s">
        <v>884</v>
      </c>
      <c r="AM28" t="s">
        <v>916</v>
      </c>
      <c r="AN28" t="s">
        <v>142</v>
      </c>
    </row>
    <row r="29" spans="1:40" ht="14.85" customHeight="1">
      <c r="A29" t="s">
        <v>389</v>
      </c>
      <c r="B29" s="2" t="s">
        <v>25</v>
      </c>
      <c r="C29" s="5" t="s">
        <v>33</v>
      </c>
      <c r="D29" s="2" t="s">
        <v>25</v>
      </c>
      <c r="E29" s="5" t="s">
        <v>33</v>
      </c>
      <c r="F29" s="5" t="s">
        <v>33</v>
      </c>
      <c r="G29" s="2" t="s">
        <v>25</v>
      </c>
      <c r="H29" s="5" t="s">
        <v>33</v>
      </c>
      <c r="I29" s="5" t="s">
        <v>33</v>
      </c>
      <c r="J29" s="5" t="s">
        <v>33</v>
      </c>
      <c r="K29" s="5" t="s">
        <v>33</v>
      </c>
      <c r="L29" s="5" t="s">
        <v>33</v>
      </c>
      <c r="M29" s="2" t="s">
        <v>25</v>
      </c>
      <c r="N29" s="5" t="s">
        <v>33</v>
      </c>
      <c r="O29" s="5" t="s">
        <v>33</v>
      </c>
      <c r="P29" s="2">
        <f t="shared" si="0"/>
        <v>4</v>
      </c>
      <c r="Q29" s="1">
        <f t="shared" si="1"/>
        <v>0.33333333333333331</v>
      </c>
      <c r="R29" s="4" t="s">
        <v>26</v>
      </c>
      <c r="S29" t="s">
        <v>383</v>
      </c>
      <c r="T29" s="34" t="s">
        <v>34</v>
      </c>
      <c r="U29" s="33" t="s">
        <v>29</v>
      </c>
      <c r="V29" s="34" t="s">
        <v>82</v>
      </c>
      <c r="W29" s="34" t="s">
        <v>85</v>
      </c>
      <c r="X29" s="34" t="s">
        <v>86</v>
      </c>
      <c r="Y29" t="s">
        <v>1009</v>
      </c>
      <c r="AD29" t="s">
        <v>883</v>
      </c>
      <c r="AG29" t="s">
        <v>884</v>
      </c>
      <c r="AH29" t="s">
        <v>901</v>
      </c>
      <c r="AM29" t="s">
        <v>881</v>
      </c>
    </row>
    <row r="30" spans="1:40" ht="14.85" customHeight="1">
      <c r="A30" t="s">
        <v>390</v>
      </c>
      <c r="B30" s="5" t="s">
        <v>33</v>
      </c>
      <c r="C30" s="5" t="s">
        <v>33</v>
      </c>
      <c r="D30" s="2" t="s">
        <v>25</v>
      </c>
      <c r="E30" s="5" t="s">
        <v>33</v>
      </c>
      <c r="F30" s="5" t="s">
        <v>33</v>
      </c>
      <c r="G30" s="2" t="s">
        <v>25</v>
      </c>
      <c r="H30" s="5" t="s">
        <v>33</v>
      </c>
      <c r="I30" s="5" t="s">
        <v>33</v>
      </c>
      <c r="J30" s="5" t="s">
        <v>33</v>
      </c>
      <c r="K30" s="5" t="s">
        <v>33</v>
      </c>
      <c r="L30" s="5" t="s">
        <v>33</v>
      </c>
      <c r="M30" s="2" t="s">
        <v>25</v>
      </c>
      <c r="N30" s="5" t="s">
        <v>33</v>
      </c>
      <c r="O30" s="5" t="s">
        <v>33</v>
      </c>
      <c r="P30" s="2">
        <f t="shared" si="0"/>
        <v>3</v>
      </c>
      <c r="Q30" s="1">
        <f t="shared" si="1"/>
        <v>0.25</v>
      </c>
      <c r="R30" s="4" t="s">
        <v>26</v>
      </c>
      <c r="S30" t="s">
        <v>383</v>
      </c>
      <c r="T30" s="34" t="s">
        <v>34</v>
      </c>
      <c r="U30" s="33" t="s">
        <v>29</v>
      </c>
      <c r="V30" s="34" t="s">
        <v>82</v>
      </c>
      <c r="W30" s="34" t="s">
        <v>83</v>
      </c>
      <c r="X30" s="34" t="s">
        <v>62</v>
      </c>
      <c r="Y30" t="s">
        <v>1010</v>
      </c>
      <c r="AD30" t="s">
        <v>893</v>
      </c>
      <c r="AG30" t="s">
        <v>884</v>
      </c>
      <c r="AH30" t="s">
        <v>901</v>
      </c>
      <c r="AM30" t="s">
        <v>881</v>
      </c>
    </row>
    <row r="31" spans="1:40" ht="14.85" customHeight="1">
      <c r="A31" s="14" t="s">
        <v>391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17"/>
      <c r="R31" s="65"/>
      <c r="S31" s="66"/>
      <c r="T31" s="32"/>
      <c r="U31" s="32"/>
      <c r="V31" s="39"/>
      <c r="W31" s="39"/>
      <c r="X31" s="39"/>
    </row>
    <row r="32" spans="1:40" ht="14.85" customHeight="1">
      <c r="A32" t="s">
        <v>392</v>
      </c>
      <c r="B32" s="2" t="s">
        <v>25</v>
      </c>
      <c r="C32" s="5" t="s">
        <v>33</v>
      </c>
      <c r="D32" s="5" t="s">
        <v>33</v>
      </c>
      <c r="E32" s="5" t="s">
        <v>33</v>
      </c>
      <c r="F32" s="5" t="s">
        <v>33</v>
      </c>
      <c r="G32" s="2" t="s">
        <v>25</v>
      </c>
      <c r="H32" s="5" t="s">
        <v>33</v>
      </c>
      <c r="I32" s="5" t="s">
        <v>33</v>
      </c>
      <c r="J32" s="5" t="s">
        <v>33</v>
      </c>
      <c r="K32" s="5" t="s">
        <v>33</v>
      </c>
      <c r="L32" s="5" t="s">
        <v>33</v>
      </c>
      <c r="M32" s="5" t="s">
        <v>33</v>
      </c>
      <c r="N32" s="5" t="s">
        <v>33</v>
      </c>
      <c r="O32" s="5" t="s">
        <v>33</v>
      </c>
      <c r="P32" s="2">
        <f t="shared" ref="P32:P38" si="2">COUNTIF(B32:O32,"✔")</f>
        <v>2</v>
      </c>
      <c r="Q32" s="1">
        <f t="shared" ref="Q32:Q38" si="3">P32/12</f>
        <v>0.16666666666666666</v>
      </c>
      <c r="R32" s="4" t="s">
        <v>26</v>
      </c>
      <c r="S32" t="s">
        <v>393</v>
      </c>
      <c r="T32" s="22" t="s">
        <v>34</v>
      </c>
      <c r="U32" s="45" t="s">
        <v>29</v>
      </c>
      <c r="V32" s="22" t="s">
        <v>394</v>
      </c>
      <c r="W32" s="22" t="s">
        <v>85</v>
      </c>
      <c r="X32" s="22" t="s">
        <v>395</v>
      </c>
      <c r="Y32" t="s">
        <v>1011</v>
      </c>
      <c r="AD32" t="s">
        <v>1012</v>
      </c>
      <c r="AG32" t="s">
        <v>884</v>
      </c>
      <c r="AH32" t="s">
        <v>1013</v>
      </c>
      <c r="AM32" t="s">
        <v>881</v>
      </c>
    </row>
    <row r="33" spans="1:39" ht="14.85" customHeight="1">
      <c r="A33" t="s">
        <v>396</v>
      </c>
      <c r="B33" s="2" t="s">
        <v>25</v>
      </c>
      <c r="C33" s="2" t="s">
        <v>25</v>
      </c>
      <c r="D33" s="2" t="s">
        <v>25</v>
      </c>
      <c r="E33" s="5" t="s">
        <v>33</v>
      </c>
      <c r="F33" s="5" t="s">
        <v>33</v>
      </c>
      <c r="G33" s="2" t="s">
        <v>25</v>
      </c>
      <c r="H33" s="5" t="s">
        <v>33</v>
      </c>
      <c r="I33" s="5" t="s">
        <v>33</v>
      </c>
      <c r="J33" s="2" t="s">
        <v>25</v>
      </c>
      <c r="K33" s="5" t="s">
        <v>33</v>
      </c>
      <c r="L33" s="5" t="s">
        <v>33</v>
      </c>
      <c r="M33" s="5" t="s">
        <v>33</v>
      </c>
      <c r="N33" s="2" t="s">
        <v>25</v>
      </c>
      <c r="O33" s="5" t="s">
        <v>33</v>
      </c>
      <c r="P33" s="2">
        <f t="shared" si="2"/>
        <v>6</v>
      </c>
      <c r="Q33" s="1">
        <f t="shared" si="3"/>
        <v>0.5</v>
      </c>
      <c r="R33" s="4" t="s">
        <v>26</v>
      </c>
      <c r="S33" t="s">
        <v>351</v>
      </c>
      <c r="T33" s="22" t="s">
        <v>34</v>
      </c>
      <c r="U33" s="45" t="s">
        <v>312</v>
      </c>
      <c r="V33" t="s">
        <v>373</v>
      </c>
      <c r="W33" s="22" t="s">
        <v>397</v>
      </c>
      <c r="X33" s="22" t="s">
        <v>192</v>
      </c>
      <c r="Y33" t="s">
        <v>1014</v>
      </c>
      <c r="AD33" t="s">
        <v>899</v>
      </c>
      <c r="AG33" t="s">
        <v>884</v>
      </c>
      <c r="AM33" t="s">
        <v>881</v>
      </c>
    </row>
    <row r="34" spans="1:39" ht="14.85" customHeight="1">
      <c r="A34" t="s">
        <v>398</v>
      </c>
      <c r="B34" s="2" t="s">
        <v>25</v>
      </c>
      <c r="C34" s="5" t="s">
        <v>33</v>
      </c>
      <c r="D34" s="5" t="s">
        <v>33</v>
      </c>
      <c r="E34" s="5" t="s">
        <v>33</v>
      </c>
      <c r="F34" s="5" t="s">
        <v>33</v>
      </c>
      <c r="G34" s="2" t="s">
        <v>25</v>
      </c>
      <c r="H34" s="5" t="s">
        <v>33</v>
      </c>
      <c r="I34" s="5" t="s">
        <v>33</v>
      </c>
      <c r="J34" s="5" t="s">
        <v>33</v>
      </c>
      <c r="K34" s="2" t="s">
        <v>25</v>
      </c>
      <c r="L34" s="5" t="s">
        <v>33</v>
      </c>
      <c r="M34" s="2" t="s">
        <v>25</v>
      </c>
      <c r="N34" s="2" t="s">
        <v>25</v>
      </c>
      <c r="O34" s="5" t="s">
        <v>33</v>
      </c>
      <c r="P34" s="2">
        <f t="shared" si="2"/>
        <v>5</v>
      </c>
      <c r="Q34" s="1">
        <f t="shared" si="3"/>
        <v>0.41666666666666669</v>
      </c>
      <c r="R34" s="4" t="s">
        <v>26</v>
      </c>
      <c r="S34" t="s">
        <v>351</v>
      </c>
      <c r="T34" s="22" t="s">
        <v>34</v>
      </c>
      <c r="U34" s="45" t="s">
        <v>312</v>
      </c>
      <c r="V34" t="s">
        <v>373</v>
      </c>
      <c r="W34" s="22" t="s">
        <v>31</v>
      </c>
      <c r="X34" s="22" t="s">
        <v>31</v>
      </c>
      <c r="Y34" t="s">
        <v>1015</v>
      </c>
      <c r="AD34" t="s">
        <v>879</v>
      </c>
      <c r="AG34" t="s">
        <v>884</v>
      </c>
      <c r="AM34" t="s">
        <v>881</v>
      </c>
    </row>
    <row r="35" spans="1:39" ht="14.85" customHeight="1">
      <c r="A35" t="s">
        <v>399</v>
      </c>
      <c r="B35" s="2" t="s">
        <v>25</v>
      </c>
      <c r="C35" s="5" t="s">
        <v>33</v>
      </c>
      <c r="D35" s="5" t="s">
        <v>33</v>
      </c>
      <c r="E35" s="5" t="s">
        <v>33</v>
      </c>
      <c r="F35" s="5" t="s">
        <v>33</v>
      </c>
      <c r="G35" s="2" t="s">
        <v>25</v>
      </c>
      <c r="H35" s="5" t="s">
        <v>33</v>
      </c>
      <c r="I35" s="5" t="s">
        <v>33</v>
      </c>
      <c r="J35" s="5" t="s">
        <v>33</v>
      </c>
      <c r="K35" s="5" t="s">
        <v>33</v>
      </c>
      <c r="L35" s="5" t="s">
        <v>33</v>
      </c>
      <c r="M35" s="5" t="s">
        <v>33</v>
      </c>
      <c r="N35" s="5" t="s">
        <v>33</v>
      </c>
      <c r="O35" s="5" t="s">
        <v>33</v>
      </c>
      <c r="P35" s="2">
        <f t="shared" si="2"/>
        <v>2</v>
      </c>
      <c r="Q35" s="1">
        <f t="shared" si="3"/>
        <v>0.16666666666666666</v>
      </c>
      <c r="R35" s="4" t="s">
        <v>26</v>
      </c>
      <c r="S35" t="s">
        <v>370</v>
      </c>
      <c r="T35" s="34" t="s">
        <v>34</v>
      </c>
      <c r="U35" s="33" t="s">
        <v>400</v>
      </c>
      <c r="V35" s="34" t="s">
        <v>401</v>
      </c>
      <c r="W35" s="34" t="s">
        <v>31</v>
      </c>
      <c r="X35" s="34" t="s">
        <v>31</v>
      </c>
      <c r="Y35" t="s">
        <v>1016</v>
      </c>
      <c r="AD35" t="s">
        <v>879</v>
      </c>
      <c r="AG35" t="s">
        <v>884</v>
      </c>
      <c r="AM35" t="s">
        <v>881</v>
      </c>
    </row>
    <row r="36" spans="1:39" ht="14.85" customHeight="1">
      <c r="A36" t="s">
        <v>402</v>
      </c>
      <c r="B36" s="2" t="s">
        <v>25</v>
      </c>
      <c r="C36" s="5" t="s">
        <v>33</v>
      </c>
      <c r="D36" s="5" t="s">
        <v>33</v>
      </c>
      <c r="E36" s="5" t="s">
        <v>33</v>
      </c>
      <c r="F36" s="2" t="s">
        <v>25</v>
      </c>
      <c r="G36" s="2" t="s">
        <v>25</v>
      </c>
      <c r="H36" s="5" t="s">
        <v>33</v>
      </c>
      <c r="I36" s="5" t="s">
        <v>33</v>
      </c>
      <c r="J36" s="2" t="s">
        <v>25</v>
      </c>
      <c r="K36" s="5" t="s">
        <v>33</v>
      </c>
      <c r="L36" s="2" t="s">
        <v>25</v>
      </c>
      <c r="M36" s="2" t="s">
        <v>25</v>
      </c>
      <c r="N36" s="5" t="s">
        <v>33</v>
      </c>
      <c r="O36" s="5" t="s">
        <v>33</v>
      </c>
      <c r="P36" s="2">
        <f t="shared" si="2"/>
        <v>6</v>
      </c>
      <c r="Q36" s="1">
        <f t="shared" si="3"/>
        <v>0.5</v>
      </c>
      <c r="R36" s="4" t="s">
        <v>26</v>
      </c>
      <c r="S36" t="s">
        <v>403</v>
      </c>
      <c r="T36" s="22" t="s">
        <v>34</v>
      </c>
      <c r="U36" s="45" t="s">
        <v>29</v>
      </c>
      <c r="V36" s="22" t="s">
        <v>60</v>
      </c>
      <c r="W36" s="22" t="s">
        <v>378</v>
      </c>
      <c r="X36" s="22" t="s">
        <v>379</v>
      </c>
      <c r="Y36" t="s">
        <v>1017</v>
      </c>
      <c r="AD36" t="s">
        <v>950</v>
      </c>
      <c r="AG36" t="s">
        <v>884</v>
      </c>
      <c r="AM36" t="s">
        <v>881</v>
      </c>
    </row>
    <row r="37" spans="1:39" ht="14.85" customHeight="1">
      <c r="A37" t="s">
        <v>404</v>
      </c>
      <c r="B37" s="5" t="s">
        <v>33</v>
      </c>
      <c r="C37" s="5" t="s">
        <v>33</v>
      </c>
      <c r="D37" s="5" t="s">
        <v>33</v>
      </c>
      <c r="E37" s="5" t="s">
        <v>33</v>
      </c>
      <c r="F37" s="2" t="s">
        <v>25</v>
      </c>
      <c r="G37" s="2" t="s">
        <v>25</v>
      </c>
      <c r="H37" s="5" t="s">
        <v>33</v>
      </c>
      <c r="I37" s="5" t="s">
        <v>33</v>
      </c>
      <c r="J37" s="2" t="s">
        <v>25</v>
      </c>
      <c r="K37" s="2" t="s">
        <v>25</v>
      </c>
      <c r="L37" s="5" t="s">
        <v>33</v>
      </c>
      <c r="M37" s="5" t="s">
        <v>33</v>
      </c>
      <c r="N37" s="2" t="s">
        <v>25</v>
      </c>
      <c r="O37" s="5" t="s">
        <v>33</v>
      </c>
      <c r="P37" s="2">
        <f t="shared" si="2"/>
        <v>5</v>
      </c>
      <c r="Q37" s="1">
        <f t="shared" si="3"/>
        <v>0.41666666666666669</v>
      </c>
      <c r="R37" s="4" t="s">
        <v>26</v>
      </c>
      <c r="S37" t="s">
        <v>252</v>
      </c>
      <c r="T37" s="22" t="s">
        <v>34</v>
      </c>
      <c r="U37" s="45" t="s">
        <v>52</v>
      </c>
      <c r="V37" s="22" t="s">
        <v>53</v>
      </c>
      <c r="W37" s="22" t="s">
        <v>405</v>
      </c>
      <c r="X37" s="22" t="s">
        <v>406</v>
      </c>
      <c r="Y37" t="s">
        <v>1018</v>
      </c>
      <c r="AD37" t="s">
        <v>883</v>
      </c>
      <c r="AG37" t="s">
        <v>884</v>
      </c>
      <c r="AM37" t="s">
        <v>881</v>
      </c>
    </row>
    <row r="38" spans="1:39" ht="14.85" customHeight="1">
      <c r="A38" t="s">
        <v>407</v>
      </c>
      <c r="B38" s="5" t="s">
        <v>33</v>
      </c>
      <c r="C38" s="5" t="s">
        <v>33</v>
      </c>
      <c r="D38" s="5" t="s">
        <v>33</v>
      </c>
      <c r="E38" s="5" t="s">
        <v>33</v>
      </c>
      <c r="F38" s="2" t="s">
        <v>25</v>
      </c>
      <c r="G38" s="2" t="s">
        <v>25</v>
      </c>
      <c r="H38" s="5" t="s">
        <v>33</v>
      </c>
      <c r="I38" s="5" t="s">
        <v>33</v>
      </c>
      <c r="J38" s="2" t="s">
        <v>25</v>
      </c>
      <c r="K38" s="5" t="s">
        <v>33</v>
      </c>
      <c r="L38" s="2" t="s">
        <v>25</v>
      </c>
      <c r="M38" s="5" t="s">
        <v>33</v>
      </c>
      <c r="N38" s="5" t="s">
        <v>33</v>
      </c>
      <c r="O38" s="5" t="s">
        <v>33</v>
      </c>
      <c r="P38" s="2">
        <f t="shared" si="2"/>
        <v>4</v>
      </c>
      <c r="Q38" s="1">
        <f t="shared" si="3"/>
        <v>0.33333333333333331</v>
      </c>
      <c r="R38" s="4" t="s">
        <v>26</v>
      </c>
      <c r="S38" t="s">
        <v>408</v>
      </c>
      <c r="T38" s="22" t="s">
        <v>34</v>
      </c>
      <c r="U38" s="45" t="s">
        <v>400</v>
      </c>
      <c r="V38" s="22" t="s">
        <v>409</v>
      </c>
      <c r="W38" s="22" t="s">
        <v>410</v>
      </c>
      <c r="X38" s="22" t="s">
        <v>411</v>
      </c>
      <c r="Y38" t="s">
        <v>1019</v>
      </c>
      <c r="AD38" t="s">
        <v>1012</v>
      </c>
      <c r="AG38" t="s">
        <v>884</v>
      </c>
      <c r="AH38" t="s">
        <v>1013</v>
      </c>
      <c r="AM38" t="s">
        <v>881</v>
      </c>
    </row>
    <row r="39" spans="1:39" ht="14.85" customHeight="1">
      <c r="B39" s="5"/>
      <c r="C39" s="5"/>
      <c r="D39" s="5"/>
      <c r="E39" s="5"/>
      <c r="F39" s="2"/>
      <c r="G39" s="2"/>
      <c r="H39" s="5"/>
      <c r="I39" s="5"/>
      <c r="J39" s="2"/>
      <c r="K39" s="5"/>
      <c r="L39" s="2"/>
      <c r="M39" s="5"/>
      <c r="N39" s="5"/>
      <c r="O39" s="5"/>
      <c r="P39" s="2"/>
      <c r="Q39" s="1"/>
      <c r="R39" s="4"/>
      <c r="S39"/>
      <c r="T39" s="22" t="s">
        <v>34</v>
      </c>
      <c r="U39" s="45" t="s">
        <v>400</v>
      </c>
      <c r="V39" s="22" t="s">
        <v>409</v>
      </c>
      <c r="W39" s="22" t="s">
        <v>412</v>
      </c>
      <c r="X39" s="22" t="s">
        <v>411</v>
      </c>
    </row>
    <row r="40" spans="1:39" ht="14.85" customHeight="1">
      <c r="A40" t="s">
        <v>413</v>
      </c>
      <c r="B40" s="5" t="s">
        <v>33</v>
      </c>
      <c r="C40" s="5" t="s">
        <v>33</v>
      </c>
      <c r="D40" s="5" t="s">
        <v>33</v>
      </c>
      <c r="E40" s="5" t="s">
        <v>33</v>
      </c>
      <c r="F40" s="2" t="s">
        <v>25</v>
      </c>
      <c r="G40" s="5" t="s">
        <v>33</v>
      </c>
      <c r="H40" s="5" t="s">
        <v>33</v>
      </c>
      <c r="I40" s="5" t="s">
        <v>33</v>
      </c>
      <c r="J40" s="2" t="s">
        <v>25</v>
      </c>
      <c r="K40" s="2" t="s">
        <v>25</v>
      </c>
      <c r="L40" s="5" t="s">
        <v>33</v>
      </c>
      <c r="M40" s="2" t="s">
        <v>25</v>
      </c>
      <c r="N40" s="2" t="s">
        <v>25</v>
      </c>
      <c r="O40" s="2" t="s">
        <v>25</v>
      </c>
      <c r="P40" s="2">
        <f>COUNTIF(B40:O40,"✔")</f>
        <v>6</v>
      </c>
      <c r="Q40" s="1">
        <f>P40/12</f>
        <v>0.5</v>
      </c>
      <c r="R40" s="4" t="s">
        <v>26</v>
      </c>
      <c r="S40" t="s">
        <v>81</v>
      </c>
      <c r="T40" s="22" t="s">
        <v>34</v>
      </c>
      <c r="U40" s="45" t="s">
        <v>29</v>
      </c>
      <c r="V40" t="s">
        <v>82</v>
      </c>
      <c r="W40" s="22" t="s">
        <v>85</v>
      </c>
      <c r="X40" t="s">
        <v>86</v>
      </c>
      <c r="Y40" t="s">
        <v>1020</v>
      </c>
      <c r="AD40" t="s">
        <v>883</v>
      </c>
      <c r="AG40" t="s">
        <v>884</v>
      </c>
      <c r="AH40" t="s">
        <v>901</v>
      </c>
      <c r="AM40" t="s">
        <v>881</v>
      </c>
    </row>
    <row r="41" spans="1:39" ht="14.45" customHeight="1">
      <c r="B41" s="2"/>
      <c r="C41" s="2"/>
      <c r="D41" s="5"/>
      <c r="E41" s="5"/>
      <c r="F41" s="5"/>
      <c r="G41" s="2"/>
      <c r="H41" s="5"/>
      <c r="I41" s="5"/>
      <c r="J41" s="2"/>
      <c r="K41" s="5"/>
      <c r="L41" s="5"/>
      <c r="M41" s="2"/>
      <c r="N41" s="5"/>
      <c r="O41" s="5"/>
      <c r="P41" s="2"/>
      <c r="Q41" s="1"/>
      <c r="R41" s="4"/>
      <c r="S41"/>
      <c r="T41" s="22" t="s">
        <v>34</v>
      </c>
      <c r="U41" s="45" t="s">
        <v>29</v>
      </c>
      <c r="V41" t="s">
        <v>82</v>
      </c>
      <c r="W41" s="19" t="s">
        <v>87</v>
      </c>
      <c r="X41" t="s">
        <v>88</v>
      </c>
    </row>
  </sheetData>
  <dataValidations count="7">
    <dataValidation type="list" allowBlank="1" showInputMessage="1" sqref="AA2:AA41" xr:uid="{F581443B-5259-40A6-BADA-45C869C55C3A}">
      <mc:AlternateContent xmlns:x12ac="http://schemas.microsoft.com/office/spreadsheetml/2011/1/ac" xmlns:mc="http://schemas.openxmlformats.org/markup-compatibility/2006">
        <mc:Choice Requires="x12ac">
          <x12ac:list>"Mandatory,Optional,Out of scope,N/A"</x12ac:list>
        </mc:Choice>
        <mc:Fallback>
          <formula1>"Mandatory,Optional,Out of scope,N/A"</formula1>
        </mc:Fallback>
      </mc:AlternateContent>
    </dataValidation>
    <dataValidation type="list" allowBlank="1" showInputMessage="1" sqref="AD2:AD41" xr:uid="{EE146C7D-BD2B-4386-92BF-C4FB0B7A4CD2}">
      <mc:AlternateContent xmlns:x12ac="http://schemas.microsoft.com/office/spreadsheetml/2011/1/ac" xmlns:mc="http://schemas.openxmlformats.org/markup-compatibility/2006">
        <mc:Choice Requires="x12ac">
          <x12ac:list>"numeric,categorical,boolean,date,text,document,geometry,time series,reference,composite"</x12ac:list>
        </mc:Choice>
        <mc:Fallback>
          <formula1>"numeric,categorical,boolean,date,text,document,geometry,time series,reference,composite"</formula1>
        </mc:Fallback>
      </mc:AlternateContent>
    </dataValidation>
    <dataValidation type="list" allowBlank="1" showInputMessage="1" sqref="AG2:AG41" xr:uid="{5AE19545-7B39-458B-A81F-859FABD5A199}">
      <mc:AlternateContent xmlns:x12ac="http://schemas.microsoft.com/office/spreadsheetml/2011/1/ac" xmlns:mc="http://schemas.openxmlformats.org/markup-compatibility/2006">
        <mc:Choice Requires="x12ac">
          <x12ac:list>"building,unit,zone,component,site / context,any level"</x12ac:list>
        </mc:Choice>
        <mc:Fallback>
          <formula1>"building,unit,zone,component,site / context,any level"</formula1>
        </mc:Fallback>
      </mc:AlternateContent>
    </dataValidation>
    <dataValidation type="list" allowBlank="1" showInputMessage="1" sqref="AH2:AH41" xr:uid="{5C2B6DF7-6173-42E3-A188-9D3A7F63D995}">
      <mc:AlternateContent xmlns:x12ac="http://schemas.microsoft.com/office/spreadsheetml/2011/1/ac" xmlns:mc="http://schemas.openxmlformats.org/markup-compatibility/2006">
        <mc:Choice Requires="x12ac">
          <x12ac:list>"static,historical,periodic,real-time"</x12ac:list>
        </mc:Choice>
        <mc:Fallback>
          <formula1>"static,historical,periodic,real-time"</formula1>
        </mc:Fallback>
      </mc:AlternateContent>
    </dataValidation>
    <dataValidation type="list" allowBlank="1" showInputMessage="1" sqref="AI2:AI41" xr:uid="{7247A178-6FD3-4ED4-9743-76B4D398F808}">
      <mc:AlternateContent xmlns:x12ac="http://schemas.microsoft.com/office/spreadsheetml/2011/1/ac" xmlns:mc="http://schemas.openxmlformats.org/markup-compatibility/2006">
        <mc:Choice Requires="x12ac">
          <x12ac:list>"Public,Restricted,Personal data (GDPR),Commercially sensitive"</x12ac:list>
        </mc:Choice>
        <mc:Fallback>
          <formula1>"Public,Restricted,Personal data (GDPR),Commercially sensitive"</formula1>
        </mc:Fallback>
      </mc:AlternateContent>
    </dataValidation>
    <dataValidation type="list" allowBlank="1" showInputMessage="1" sqref="AL2:AL41" xr:uid="{53D6AE4B-E5E4-4334-8203-284A4FE96F60}">
      <mc:AlternateContent xmlns:x12ac="http://schemas.microsoft.com/office/spreadsheetml/2011/1/ac" xmlns:mc="http://schemas.openxmlformats.org/markup-compatibility/2006">
        <mc:Choice Requires="x12ac">
          <x12ac:list>"open data,API,manual input,inspection,derived"</x12ac:list>
        </mc:Choice>
        <mc:Fallback>
          <formula1>"open data,API,manual input,inspection,derived"</formula1>
        </mc:Fallback>
      </mc:AlternateContent>
    </dataValidation>
    <dataValidation type="list" allowBlank="1" showInputMessage="1" sqref="AM2:AM41" xr:uid="{32B7D9E9-F3C9-49AF-B736-EC8EBE8AA082}">
      <mc:AlternateContent xmlns:x12ac="http://schemas.microsoft.com/office/spreadsheetml/2011/1/ac" xmlns:mc="http://schemas.openxmlformats.org/markup-compatibility/2006">
        <mc:Choice Requires="x12ac">
          <x12ac:list>"Native,Workaround,Extension needed,Out of scope,N/A"</x12ac:list>
        </mc:Choice>
        <mc:Fallback>
          <formula1>"Native,Workaround,Extension needed,Out of scope,N/A"</formula1>
        </mc:Fallback>
      </mc:AlternateContent>
    </dataValidation>
  </dataValidation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AN5"/>
  <sheetViews>
    <sheetView zoomScale="70" zoomScaleNormal="70" workbookViewId="0">
      <pane xSplit="1" topLeftCell="B1" activePane="topRight" state="frozen"/>
      <selection pane="topRight" activeCell="F50" sqref="F50"/>
    </sheetView>
  </sheetViews>
  <sheetFormatPr defaultRowHeight="15" customHeight="1"/>
  <cols>
    <col min="1" max="1" width="50.7109375" customWidth="1"/>
    <col min="2" max="18" width="13.7109375" customWidth="1"/>
    <col min="19" max="19" width="17.42578125" customWidth="1"/>
    <col min="20" max="20" width="17.42578125" bestFit="1" customWidth="1"/>
    <col min="21" max="21" width="22.5703125" bestFit="1" customWidth="1"/>
    <col min="22" max="22" width="21.140625" customWidth="1"/>
    <col min="25" max="40" width="16.7109375" customWidth="1"/>
  </cols>
  <sheetData>
    <row r="1" spans="1:40" ht="74.099999999999994" customHeight="1">
      <c r="A1" s="4" t="s">
        <v>414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67" t="s">
        <v>17</v>
      </c>
      <c r="S1" s="67" t="s">
        <v>18</v>
      </c>
      <c r="T1" s="1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862</v>
      </c>
      <c r="Z1" s="3" t="s">
        <v>863</v>
      </c>
      <c r="AA1" s="3" t="s">
        <v>864</v>
      </c>
      <c r="AB1" s="3" t="s">
        <v>865</v>
      </c>
      <c r="AC1" s="3" t="s">
        <v>866</v>
      </c>
      <c r="AD1" s="3" t="s">
        <v>867</v>
      </c>
      <c r="AE1" s="3" t="s">
        <v>868</v>
      </c>
      <c r="AF1" s="3" t="s">
        <v>869</v>
      </c>
      <c r="AG1" s="3" t="s">
        <v>870</v>
      </c>
      <c r="AH1" s="3" t="s">
        <v>871</v>
      </c>
      <c r="AI1" s="3" t="s">
        <v>872</v>
      </c>
      <c r="AJ1" s="3" t="s">
        <v>873</v>
      </c>
      <c r="AK1" s="3" t="s">
        <v>874</v>
      </c>
      <c r="AL1" s="3" t="s">
        <v>875</v>
      </c>
      <c r="AM1" s="3" t="s">
        <v>876</v>
      </c>
      <c r="AN1" s="3" t="s">
        <v>877</v>
      </c>
    </row>
    <row r="2" spans="1:40" ht="14.45" customHeight="1">
      <c r="A2" t="s">
        <v>415</v>
      </c>
      <c r="B2" s="2" t="s">
        <v>25</v>
      </c>
      <c r="C2" s="2" t="s">
        <v>25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25</v>
      </c>
      <c r="J2" s="2" t="s">
        <v>25</v>
      </c>
      <c r="K2" s="5" t="s">
        <v>33</v>
      </c>
      <c r="L2" s="5" t="s">
        <v>33</v>
      </c>
      <c r="M2" s="5" t="s">
        <v>33</v>
      </c>
      <c r="N2" s="5" t="s">
        <v>33</v>
      </c>
      <c r="O2" s="5" t="s">
        <v>33</v>
      </c>
      <c r="P2" s="2">
        <f>COUNTIF(B2:O2,"✔")</f>
        <v>9</v>
      </c>
      <c r="Q2" s="1">
        <f>P2/14</f>
        <v>0.6428571428571429</v>
      </c>
      <c r="R2" s="4" t="s">
        <v>26</v>
      </c>
      <c r="S2" t="s">
        <v>416</v>
      </c>
      <c r="T2" s="18" t="s">
        <v>34</v>
      </c>
      <c r="U2" s="46" t="s">
        <v>29</v>
      </c>
      <c r="V2" s="46" t="s">
        <v>60</v>
      </c>
      <c r="W2" s="46" t="s">
        <v>378</v>
      </c>
      <c r="X2" s="18" t="s">
        <v>379</v>
      </c>
      <c r="Y2" t="s">
        <v>1021</v>
      </c>
      <c r="AD2" t="s">
        <v>950</v>
      </c>
      <c r="AG2" t="s">
        <v>884</v>
      </c>
      <c r="AM2" t="s">
        <v>881</v>
      </c>
    </row>
    <row r="3" spans="1:40" ht="14.45" customHeight="1">
      <c r="A3" t="s">
        <v>417</v>
      </c>
      <c r="B3" s="2" t="s">
        <v>25</v>
      </c>
      <c r="C3" s="2" t="s">
        <v>25</v>
      </c>
      <c r="D3" s="2" t="s">
        <v>25</v>
      </c>
      <c r="E3" s="2" t="s">
        <v>25</v>
      </c>
      <c r="F3" s="2" t="s">
        <v>25</v>
      </c>
      <c r="G3" s="2" t="s">
        <v>25</v>
      </c>
      <c r="H3" s="2" t="s">
        <v>25</v>
      </c>
      <c r="I3" s="2" t="s">
        <v>25</v>
      </c>
      <c r="J3" s="2" t="s">
        <v>25</v>
      </c>
      <c r="K3" s="5" t="s">
        <v>33</v>
      </c>
      <c r="L3" s="5" t="s">
        <v>33</v>
      </c>
      <c r="M3" s="2" t="s">
        <v>25</v>
      </c>
      <c r="N3" s="5" t="s">
        <v>33</v>
      </c>
      <c r="O3" s="64" t="s">
        <v>25</v>
      </c>
      <c r="P3" s="2">
        <f>COUNTIF(B3:O3,"✔")</f>
        <v>11</v>
      </c>
      <c r="Q3" s="1">
        <f>P3/14</f>
        <v>0.7857142857142857</v>
      </c>
      <c r="R3" s="4" t="s">
        <v>26</v>
      </c>
      <c r="S3" t="s">
        <v>403</v>
      </c>
      <c r="T3" s="18" t="s">
        <v>34</v>
      </c>
      <c r="U3" s="46" t="s">
        <v>29</v>
      </c>
      <c r="V3" s="18" t="s">
        <v>60</v>
      </c>
      <c r="W3" s="46" t="s">
        <v>378</v>
      </c>
      <c r="X3" s="18" t="s">
        <v>379</v>
      </c>
      <c r="Y3" t="s">
        <v>1022</v>
      </c>
      <c r="AD3" t="s">
        <v>950</v>
      </c>
      <c r="AG3" t="s">
        <v>884</v>
      </c>
      <c r="AM3" t="s">
        <v>881</v>
      </c>
    </row>
    <row r="4" spans="1:40" ht="14.45" customHeight="1">
      <c r="A4" t="s">
        <v>418</v>
      </c>
      <c r="B4" s="2" t="s">
        <v>25</v>
      </c>
      <c r="C4" s="2" t="s">
        <v>25</v>
      </c>
      <c r="D4" s="2" t="s">
        <v>25</v>
      </c>
      <c r="E4" s="2" t="s">
        <v>25</v>
      </c>
      <c r="F4" s="2" t="s">
        <v>25</v>
      </c>
      <c r="G4" s="2" t="s">
        <v>25</v>
      </c>
      <c r="H4" s="2" t="s">
        <v>25</v>
      </c>
      <c r="I4" s="2" t="s">
        <v>25</v>
      </c>
      <c r="J4" s="5" t="s">
        <v>33</v>
      </c>
      <c r="K4" s="5" t="s">
        <v>33</v>
      </c>
      <c r="L4" s="5" t="s">
        <v>33</v>
      </c>
      <c r="M4" s="5" t="s">
        <v>33</v>
      </c>
      <c r="N4" s="5" t="s">
        <v>33</v>
      </c>
      <c r="O4" s="64" t="s">
        <v>25</v>
      </c>
      <c r="P4" s="2">
        <f>COUNTIF(B4:O4,"✔")</f>
        <v>9</v>
      </c>
      <c r="Q4" s="1">
        <f>P4/14</f>
        <v>0.6428571428571429</v>
      </c>
      <c r="R4" s="4" t="s">
        <v>26</v>
      </c>
      <c r="S4" t="s">
        <v>419</v>
      </c>
      <c r="T4" s="18" t="s">
        <v>34</v>
      </c>
      <c r="U4" s="46" t="s">
        <v>29</v>
      </c>
      <c r="V4" s="18" t="s">
        <v>60</v>
      </c>
      <c r="W4" t="s">
        <v>420</v>
      </c>
      <c r="X4" s="46" t="s">
        <v>421</v>
      </c>
      <c r="Y4" t="s">
        <v>1023</v>
      </c>
      <c r="AD4" t="s">
        <v>879</v>
      </c>
      <c r="AG4" t="s">
        <v>884</v>
      </c>
      <c r="AM4" t="s">
        <v>881</v>
      </c>
    </row>
    <row r="5" spans="1:40" ht="14.45" customHeight="1">
      <c r="A5" t="s">
        <v>422</v>
      </c>
      <c r="B5" s="2" t="s">
        <v>25</v>
      </c>
      <c r="C5" s="2" t="s">
        <v>25</v>
      </c>
      <c r="D5" s="5" t="s">
        <v>33</v>
      </c>
      <c r="E5" s="2" t="s">
        <v>25</v>
      </c>
      <c r="F5" s="5" t="s">
        <v>33</v>
      </c>
      <c r="G5" s="5" t="s">
        <v>33</v>
      </c>
      <c r="H5" s="5" t="s">
        <v>33</v>
      </c>
      <c r="I5" s="5" t="s">
        <v>33</v>
      </c>
      <c r="J5" s="2" t="s">
        <v>25</v>
      </c>
      <c r="K5" s="5" t="s">
        <v>33</v>
      </c>
      <c r="L5" s="5" t="s">
        <v>33</v>
      </c>
      <c r="M5" s="2" t="s">
        <v>25</v>
      </c>
      <c r="N5" s="5" t="s">
        <v>33</v>
      </c>
      <c r="O5" s="2" t="s">
        <v>25</v>
      </c>
      <c r="P5" s="2">
        <f>COUNTIF(B5:O5,"✔")</f>
        <v>6</v>
      </c>
      <c r="Q5" s="1">
        <f>P5/14</f>
        <v>0.42857142857142855</v>
      </c>
      <c r="R5" s="4" t="s">
        <v>26</v>
      </c>
      <c r="S5" t="s">
        <v>403</v>
      </c>
      <c r="T5" s="18" t="s">
        <v>34</v>
      </c>
      <c r="U5" s="46" t="s">
        <v>29</v>
      </c>
      <c r="V5" s="18" t="s">
        <v>60</v>
      </c>
      <c r="W5" s="18" t="s">
        <v>378</v>
      </c>
      <c r="X5" s="18" t="s">
        <v>379</v>
      </c>
      <c r="Y5" t="s">
        <v>1024</v>
      </c>
      <c r="AD5" t="s">
        <v>950</v>
      </c>
      <c r="AG5" t="s">
        <v>884</v>
      </c>
      <c r="AM5" t="s">
        <v>881</v>
      </c>
    </row>
  </sheetData>
  <dataValidations count="7">
    <dataValidation type="list" allowBlank="1" showInputMessage="1" sqref="AA2:AA5" xr:uid="{47498544-6F1A-4DA5-8D8E-7FF686829815}">
      <mc:AlternateContent xmlns:x12ac="http://schemas.microsoft.com/office/spreadsheetml/2011/1/ac" xmlns:mc="http://schemas.openxmlformats.org/markup-compatibility/2006">
        <mc:Choice Requires="x12ac">
          <x12ac:list>"Mandatory,Optional,Out of scope,N/A"</x12ac:list>
        </mc:Choice>
        <mc:Fallback>
          <formula1>"Mandatory,Optional,Out of scope,N/A"</formula1>
        </mc:Fallback>
      </mc:AlternateContent>
    </dataValidation>
    <dataValidation type="list" allowBlank="1" showInputMessage="1" sqref="AD2:AD5" xr:uid="{5E4105EA-0FD1-4E47-B779-CB045BC9C0C4}">
      <mc:AlternateContent xmlns:x12ac="http://schemas.microsoft.com/office/spreadsheetml/2011/1/ac" xmlns:mc="http://schemas.openxmlformats.org/markup-compatibility/2006">
        <mc:Choice Requires="x12ac">
          <x12ac:list>"numeric,categorical,boolean,date,text,document,geometry,time series,reference,composite"</x12ac:list>
        </mc:Choice>
        <mc:Fallback>
          <formula1>"numeric,categorical,boolean,date,text,document,geometry,time series,reference,composite"</formula1>
        </mc:Fallback>
      </mc:AlternateContent>
    </dataValidation>
    <dataValidation type="list" allowBlank="1" showInputMessage="1" sqref="AG2:AG5" xr:uid="{13F81121-3630-445F-AD6B-B14B578486AC}">
      <mc:AlternateContent xmlns:x12ac="http://schemas.microsoft.com/office/spreadsheetml/2011/1/ac" xmlns:mc="http://schemas.openxmlformats.org/markup-compatibility/2006">
        <mc:Choice Requires="x12ac">
          <x12ac:list>"building,unit,zone,component,site / context,any level"</x12ac:list>
        </mc:Choice>
        <mc:Fallback>
          <formula1>"building,unit,zone,component,site / context,any level"</formula1>
        </mc:Fallback>
      </mc:AlternateContent>
    </dataValidation>
    <dataValidation type="list" allowBlank="1" showInputMessage="1" sqref="AH2:AH5" xr:uid="{2E3D0683-54BE-4765-A04B-CBCD86941665}">
      <mc:AlternateContent xmlns:x12ac="http://schemas.microsoft.com/office/spreadsheetml/2011/1/ac" xmlns:mc="http://schemas.openxmlformats.org/markup-compatibility/2006">
        <mc:Choice Requires="x12ac">
          <x12ac:list>"static,historical,periodic,real-time"</x12ac:list>
        </mc:Choice>
        <mc:Fallback>
          <formula1>"static,historical,periodic,real-time"</formula1>
        </mc:Fallback>
      </mc:AlternateContent>
    </dataValidation>
    <dataValidation type="list" allowBlank="1" showInputMessage="1" sqref="AI2:AI5" xr:uid="{05011788-1316-405A-895D-8F2AFD88D931}">
      <mc:AlternateContent xmlns:x12ac="http://schemas.microsoft.com/office/spreadsheetml/2011/1/ac" xmlns:mc="http://schemas.openxmlformats.org/markup-compatibility/2006">
        <mc:Choice Requires="x12ac">
          <x12ac:list>"Public,Restricted,Personal data (GDPR),Commercially sensitive"</x12ac:list>
        </mc:Choice>
        <mc:Fallback>
          <formula1>"Public,Restricted,Personal data (GDPR),Commercially sensitive"</formula1>
        </mc:Fallback>
      </mc:AlternateContent>
    </dataValidation>
    <dataValidation type="list" allowBlank="1" showInputMessage="1" sqref="AL2:AL5" xr:uid="{D6B230CA-8979-4273-AC6F-977D80395B8F}">
      <mc:AlternateContent xmlns:x12ac="http://schemas.microsoft.com/office/spreadsheetml/2011/1/ac" xmlns:mc="http://schemas.openxmlformats.org/markup-compatibility/2006">
        <mc:Choice Requires="x12ac">
          <x12ac:list>"open data,API,manual input,inspection,derived"</x12ac:list>
        </mc:Choice>
        <mc:Fallback>
          <formula1>"open data,API,manual input,inspection,derived"</formula1>
        </mc:Fallback>
      </mc:AlternateContent>
    </dataValidation>
    <dataValidation type="list" allowBlank="1" showInputMessage="1" sqref="AM2:AM5" xr:uid="{D2FDA2FD-3C0F-4E49-BD9C-7C3506656F85}">
      <mc:AlternateContent xmlns:x12ac="http://schemas.microsoft.com/office/spreadsheetml/2011/1/ac" xmlns:mc="http://schemas.openxmlformats.org/markup-compatibility/2006">
        <mc:Choice Requires="x12ac">
          <x12ac:list>"Native,Workaround,Extension needed,Out of scope,N/A"</x12ac:list>
        </mc:Choice>
        <mc:Fallback>
          <formula1>"Native,Workaround,Extension needed,Out of scope,N/A"</formula1>
        </mc:Fallback>
      </mc:AlternateContent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AN31"/>
  <sheetViews>
    <sheetView zoomScale="76" zoomScaleNormal="70" workbookViewId="0">
      <pane xSplit="1" ySplit="1" topLeftCell="N2" activePane="bottomRight" state="frozen"/>
      <selection pane="topRight" activeCell="B1" sqref="B1"/>
      <selection pane="bottomLeft" activeCell="A2" sqref="A2"/>
      <selection pane="bottomRight" activeCell="U16" sqref="U16"/>
    </sheetView>
  </sheetViews>
  <sheetFormatPr defaultColWidth="9.28515625" defaultRowHeight="15"/>
  <cols>
    <col min="1" max="1" width="44.5703125" customWidth="1"/>
    <col min="2" max="18" width="13.7109375" customWidth="1"/>
    <col min="19" max="22" width="20.7109375" customWidth="1"/>
    <col min="23" max="23" width="20.28515625" customWidth="1"/>
    <col min="25" max="40" width="16.7109375" customWidth="1"/>
  </cols>
  <sheetData>
    <row r="1" spans="1:40" ht="74.099999999999994" customHeight="1">
      <c r="A1" s="4" t="s">
        <v>423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67" t="s">
        <v>17</v>
      </c>
      <c r="S1" s="67" t="s">
        <v>18</v>
      </c>
      <c r="T1" s="12" t="s">
        <v>19</v>
      </c>
      <c r="U1" s="12" t="s">
        <v>20</v>
      </c>
      <c r="V1" s="3" t="s">
        <v>21</v>
      </c>
      <c r="W1" s="3" t="s">
        <v>22</v>
      </c>
      <c r="X1" s="3" t="s">
        <v>23</v>
      </c>
      <c r="Y1" s="3" t="s">
        <v>862</v>
      </c>
      <c r="Z1" s="3" t="s">
        <v>863</v>
      </c>
      <c r="AA1" s="3" t="s">
        <v>864</v>
      </c>
      <c r="AB1" s="3" t="s">
        <v>865</v>
      </c>
      <c r="AC1" s="3" t="s">
        <v>866</v>
      </c>
      <c r="AD1" s="3" t="s">
        <v>867</v>
      </c>
      <c r="AE1" s="3" t="s">
        <v>868</v>
      </c>
      <c r="AF1" s="3" t="s">
        <v>869</v>
      </c>
      <c r="AG1" s="3" t="s">
        <v>870</v>
      </c>
      <c r="AH1" s="3" t="s">
        <v>871</v>
      </c>
      <c r="AI1" s="3" t="s">
        <v>872</v>
      </c>
      <c r="AJ1" s="3" t="s">
        <v>873</v>
      </c>
      <c r="AK1" s="3" t="s">
        <v>874</v>
      </c>
      <c r="AL1" s="3" t="s">
        <v>875</v>
      </c>
      <c r="AM1" s="3" t="s">
        <v>876</v>
      </c>
      <c r="AN1" s="3" t="s">
        <v>877</v>
      </c>
    </row>
    <row r="2" spans="1:40">
      <c r="A2" s="14" t="s">
        <v>424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1"/>
      <c r="Q2" s="31"/>
      <c r="R2" s="65"/>
      <c r="S2" s="66"/>
      <c r="T2" s="31"/>
      <c r="U2" s="31"/>
      <c r="V2" s="31"/>
      <c r="W2" s="31"/>
      <c r="X2" s="31"/>
    </row>
    <row r="3" spans="1:40">
      <c r="A3" t="s">
        <v>425</v>
      </c>
      <c r="B3" s="2" t="s">
        <v>25</v>
      </c>
      <c r="C3" s="2" t="s">
        <v>25</v>
      </c>
      <c r="D3" s="2" t="s">
        <v>25</v>
      </c>
      <c r="E3" s="2" t="s">
        <v>25</v>
      </c>
      <c r="F3" s="5" t="s">
        <v>33</v>
      </c>
      <c r="G3" s="2" t="s">
        <v>25</v>
      </c>
      <c r="H3" s="2" t="s">
        <v>25</v>
      </c>
      <c r="I3" s="2" t="s">
        <v>25</v>
      </c>
      <c r="J3" s="2" t="s">
        <v>25</v>
      </c>
      <c r="K3" s="2" t="s">
        <v>25</v>
      </c>
      <c r="L3" s="2" t="s">
        <v>25</v>
      </c>
      <c r="M3" s="2" t="s">
        <v>25</v>
      </c>
      <c r="N3" s="2" t="s">
        <v>25</v>
      </c>
      <c r="O3" s="64" t="s">
        <v>25</v>
      </c>
      <c r="P3" s="2">
        <f>COUNTIF(B3:O3,"✔")</f>
        <v>13</v>
      </c>
      <c r="Q3" s="1">
        <f>P3/14</f>
        <v>0.9285714285714286</v>
      </c>
      <c r="R3" s="4" t="s">
        <v>26</v>
      </c>
      <c r="S3" t="s">
        <v>426</v>
      </c>
      <c r="T3" s="22" t="s">
        <v>34</v>
      </c>
      <c r="U3" s="22" t="s">
        <v>40</v>
      </c>
      <c r="V3" s="22" t="s">
        <v>41</v>
      </c>
      <c r="W3" s="22" t="s">
        <v>427</v>
      </c>
      <c r="X3" s="22" t="s">
        <v>428</v>
      </c>
      <c r="Y3" t="s">
        <v>1025</v>
      </c>
      <c r="AD3" t="s">
        <v>899</v>
      </c>
      <c r="AG3" t="s">
        <v>880</v>
      </c>
      <c r="AM3" t="s">
        <v>881</v>
      </c>
    </row>
    <row r="4" spans="1:40">
      <c r="A4" t="s">
        <v>429</v>
      </c>
      <c r="B4" s="2" t="s">
        <v>25</v>
      </c>
      <c r="C4" s="2" t="s">
        <v>25</v>
      </c>
      <c r="D4" s="2" t="s">
        <v>25</v>
      </c>
      <c r="E4" s="2" t="s">
        <v>25</v>
      </c>
      <c r="F4" s="5" t="s">
        <v>33</v>
      </c>
      <c r="G4" s="2" t="s">
        <v>25</v>
      </c>
      <c r="H4" s="5" t="s">
        <v>33</v>
      </c>
      <c r="I4" s="2" t="s">
        <v>25</v>
      </c>
      <c r="J4" s="2" t="s">
        <v>25</v>
      </c>
      <c r="K4" s="2" t="s">
        <v>25</v>
      </c>
      <c r="L4" s="2" t="s">
        <v>25</v>
      </c>
      <c r="M4" s="2" t="s">
        <v>25</v>
      </c>
      <c r="N4" s="2" t="s">
        <v>25</v>
      </c>
      <c r="O4" s="5" t="s">
        <v>33</v>
      </c>
      <c r="P4" s="2">
        <f>COUNTIF(B4:O4,"✔")</f>
        <v>11</v>
      </c>
      <c r="Q4" s="1">
        <f>P4/14</f>
        <v>0.7857142857142857</v>
      </c>
      <c r="R4" s="4" t="s">
        <v>26</v>
      </c>
      <c r="S4" t="s">
        <v>351</v>
      </c>
      <c r="T4" s="22" t="s">
        <v>34</v>
      </c>
      <c r="U4" s="22" t="s">
        <v>40</v>
      </c>
      <c r="V4" s="22" t="s">
        <v>41</v>
      </c>
      <c r="W4" s="22" t="s">
        <v>427</v>
      </c>
      <c r="X4" s="22" t="s">
        <v>428</v>
      </c>
      <c r="Y4" t="s">
        <v>1026</v>
      </c>
      <c r="AD4" t="s">
        <v>899</v>
      </c>
      <c r="AG4" t="s">
        <v>880</v>
      </c>
      <c r="AM4" t="s">
        <v>881</v>
      </c>
    </row>
    <row r="5" spans="1:40">
      <c r="A5" t="s">
        <v>430</v>
      </c>
      <c r="B5" s="2" t="s">
        <v>25</v>
      </c>
      <c r="C5" s="5" t="s">
        <v>33</v>
      </c>
      <c r="D5" s="2" t="s">
        <v>25</v>
      </c>
      <c r="E5" s="5" t="s">
        <v>33</v>
      </c>
      <c r="F5" s="2" t="s">
        <v>25</v>
      </c>
      <c r="G5" s="2" t="s">
        <v>25</v>
      </c>
      <c r="H5" s="2" t="s">
        <v>25</v>
      </c>
      <c r="I5" s="2" t="s">
        <v>25</v>
      </c>
      <c r="J5" s="2" t="s">
        <v>25</v>
      </c>
      <c r="K5" s="2" t="s">
        <v>25</v>
      </c>
      <c r="L5" s="2" t="s">
        <v>25</v>
      </c>
      <c r="M5" s="5" t="s">
        <v>33</v>
      </c>
      <c r="N5" s="5" t="s">
        <v>33</v>
      </c>
      <c r="O5" s="5" t="s">
        <v>33</v>
      </c>
      <c r="P5" s="2">
        <f>COUNTIF(B5:O5,"✔")</f>
        <v>9</v>
      </c>
      <c r="Q5" s="1">
        <f>P5/14</f>
        <v>0.6428571428571429</v>
      </c>
      <c r="R5" s="4" t="s">
        <v>26</v>
      </c>
      <c r="S5" t="s">
        <v>431</v>
      </c>
      <c r="T5" s="22" t="s">
        <v>34</v>
      </c>
      <c r="U5" s="22" t="s">
        <v>40</v>
      </c>
      <c r="V5" s="22" t="s">
        <v>41</v>
      </c>
      <c r="W5" s="22" t="s">
        <v>427</v>
      </c>
      <c r="X5" s="22" t="s">
        <v>428</v>
      </c>
      <c r="Y5" t="s">
        <v>1027</v>
      </c>
      <c r="AD5" t="s">
        <v>899</v>
      </c>
      <c r="AG5" t="s">
        <v>880</v>
      </c>
      <c r="AM5" t="s">
        <v>881</v>
      </c>
    </row>
    <row r="6" spans="1:40">
      <c r="A6" t="s">
        <v>432</v>
      </c>
      <c r="B6" s="2" t="s">
        <v>25</v>
      </c>
      <c r="C6" s="5" t="s">
        <v>33</v>
      </c>
      <c r="D6" s="2" t="s">
        <v>25</v>
      </c>
      <c r="E6" s="2" t="s">
        <v>25</v>
      </c>
      <c r="F6" s="5" t="s">
        <v>33</v>
      </c>
      <c r="G6" s="2" t="s">
        <v>25</v>
      </c>
      <c r="H6" s="5" t="s">
        <v>33</v>
      </c>
      <c r="I6" s="5" t="s">
        <v>33</v>
      </c>
      <c r="J6" s="2" t="s">
        <v>25</v>
      </c>
      <c r="K6" s="2" t="s">
        <v>25</v>
      </c>
      <c r="L6" s="2" t="s">
        <v>25</v>
      </c>
      <c r="M6" s="5" t="s">
        <v>33</v>
      </c>
      <c r="N6" s="5" t="s">
        <v>33</v>
      </c>
      <c r="O6" s="5" t="s">
        <v>33</v>
      </c>
      <c r="P6" s="2">
        <f>COUNTIF(B6:O6,"✔")</f>
        <v>7</v>
      </c>
      <c r="Q6" s="1">
        <f>P6/14</f>
        <v>0.5</v>
      </c>
      <c r="R6" s="4" t="s">
        <v>26</v>
      </c>
      <c r="S6" t="s">
        <v>351</v>
      </c>
      <c r="T6" s="22" t="s">
        <v>34</v>
      </c>
      <c r="U6" s="22" t="s">
        <v>40</v>
      </c>
      <c r="V6" s="22" t="s">
        <v>41</v>
      </c>
      <c r="W6" s="22" t="s">
        <v>427</v>
      </c>
      <c r="X6" s="22" t="s">
        <v>428</v>
      </c>
      <c r="Y6" t="s">
        <v>1028</v>
      </c>
      <c r="AD6" t="s">
        <v>899</v>
      </c>
      <c r="AG6" t="s">
        <v>880</v>
      </c>
      <c r="AM6" t="s">
        <v>881</v>
      </c>
    </row>
    <row r="7" spans="1:40">
      <c r="A7" t="s">
        <v>433</v>
      </c>
      <c r="B7" s="2" t="s">
        <v>25</v>
      </c>
      <c r="C7" s="5" t="s">
        <v>33</v>
      </c>
      <c r="D7" s="2" t="s">
        <v>25</v>
      </c>
      <c r="E7" s="5" t="s">
        <v>33</v>
      </c>
      <c r="F7" s="5" t="s">
        <v>33</v>
      </c>
      <c r="G7" s="2" t="s">
        <v>25</v>
      </c>
      <c r="H7" s="2" t="s">
        <v>25</v>
      </c>
      <c r="I7" s="5" t="s">
        <v>33</v>
      </c>
      <c r="J7" s="2" t="s">
        <v>25</v>
      </c>
      <c r="K7" s="2" t="s">
        <v>25</v>
      </c>
      <c r="L7" s="2" t="s">
        <v>25</v>
      </c>
      <c r="M7" s="5" t="s">
        <v>33</v>
      </c>
      <c r="N7" s="2" t="s">
        <v>25</v>
      </c>
      <c r="O7" s="5" t="s">
        <v>33</v>
      </c>
      <c r="P7" s="2">
        <f>COUNTIF(B7:O7,"✔")</f>
        <v>8</v>
      </c>
      <c r="Q7" s="1">
        <f>P7/14</f>
        <v>0.5714285714285714</v>
      </c>
      <c r="R7" s="4" t="s">
        <v>26</v>
      </c>
      <c r="S7" t="s">
        <v>431</v>
      </c>
      <c r="T7" s="22" t="s">
        <v>34</v>
      </c>
      <c r="U7" s="22" t="s">
        <v>40</v>
      </c>
      <c r="V7" s="22" t="s">
        <v>41</v>
      </c>
      <c r="W7" s="22" t="s">
        <v>427</v>
      </c>
      <c r="X7" s="22" t="s">
        <v>428</v>
      </c>
      <c r="Y7" t="s">
        <v>1029</v>
      </c>
      <c r="AD7" t="s">
        <v>899</v>
      </c>
      <c r="AG7" t="s">
        <v>880</v>
      </c>
      <c r="AM7" t="s">
        <v>881</v>
      </c>
    </row>
    <row r="8" spans="1:40">
      <c r="A8" s="14" t="s">
        <v>434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17"/>
      <c r="R8" s="65"/>
      <c r="S8" s="66"/>
      <c r="T8" s="31"/>
      <c r="U8" s="31"/>
      <c r="V8" s="31"/>
      <c r="W8" s="31"/>
      <c r="X8" s="31"/>
    </row>
    <row r="9" spans="1:40">
      <c r="A9" t="s">
        <v>435</v>
      </c>
      <c r="B9" s="2" t="s">
        <v>25</v>
      </c>
      <c r="C9" s="2" t="s">
        <v>25</v>
      </c>
      <c r="D9" s="2" t="s">
        <v>25</v>
      </c>
      <c r="E9" s="5" t="s">
        <v>33</v>
      </c>
      <c r="F9" s="2" t="s">
        <v>25</v>
      </c>
      <c r="G9" s="2" t="s">
        <v>25</v>
      </c>
      <c r="H9" s="5" t="s">
        <v>33</v>
      </c>
      <c r="I9" s="5" t="s">
        <v>33</v>
      </c>
      <c r="J9" s="2" t="s">
        <v>25</v>
      </c>
      <c r="K9" s="2" t="s">
        <v>25</v>
      </c>
      <c r="L9" s="2" t="s">
        <v>25</v>
      </c>
      <c r="M9" s="5" t="s">
        <v>33</v>
      </c>
      <c r="N9" s="2" t="s">
        <v>25</v>
      </c>
      <c r="O9" s="5" t="s">
        <v>33</v>
      </c>
      <c r="P9" s="2">
        <f>COUNTIF(B9:O9,"✔")</f>
        <v>9</v>
      </c>
      <c r="Q9" s="1">
        <f>P9/14</f>
        <v>0.6428571428571429</v>
      </c>
      <c r="R9" s="4" t="s">
        <v>26</v>
      </c>
      <c r="S9" t="s">
        <v>178</v>
      </c>
      <c r="T9" s="22" t="s">
        <v>34</v>
      </c>
      <c r="U9" s="22" t="s">
        <v>40</v>
      </c>
      <c r="V9" s="22" t="s">
        <v>41</v>
      </c>
      <c r="W9" s="22" t="s">
        <v>427</v>
      </c>
      <c r="X9" s="22" t="s">
        <v>428</v>
      </c>
      <c r="Y9" t="s">
        <v>1030</v>
      </c>
      <c r="AD9" t="s">
        <v>899</v>
      </c>
      <c r="AG9" t="s">
        <v>880</v>
      </c>
      <c r="AM9" t="s">
        <v>881</v>
      </c>
    </row>
    <row r="10" spans="1:40">
      <c r="A10" t="s">
        <v>436</v>
      </c>
      <c r="B10" s="2" t="s">
        <v>25</v>
      </c>
      <c r="C10" s="5" t="s">
        <v>33</v>
      </c>
      <c r="D10" s="2" t="s">
        <v>25</v>
      </c>
      <c r="E10" s="5" t="s">
        <v>33</v>
      </c>
      <c r="F10" s="5" t="s">
        <v>33</v>
      </c>
      <c r="G10" s="2" t="s">
        <v>25</v>
      </c>
      <c r="H10" s="5" t="s">
        <v>33</v>
      </c>
      <c r="I10" s="5" t="s">
        <v>33</v>
      </c>
      <c r="J10" s="2" t="s">
        <v>25</v>
      </c>
      <c r="K10" s="2" t="s">
        <v>25</v>
      </c>
      <c r="L10" s="2" t="s">
        <v>25</v>
      </c>
      <c r="M10" s="5" t="s">
        <v>33</v>
      </c>
      <c r="N10" s="2" t="s">
        <v>25</v>
      </c>
      <c r="O10" s="5" t="s">
        <v>33</v>
      </c>
      <c r="P10" s="2">
        <f>COUNTIF(B10:O10,"✔")</f>
        <v>7</v>
      </c>
      <c r="Q10" s="1">
        <f>P10/14</f>
        <v>0.5</v>
      </c>
      <c r="R10" s="4" t="s">
        <v>26</v>
      </c>
      <c r="S10" t="s">
        <v>178</v>
      </c>
      <c r="T10" s="22" t="s">
        <v>34</v>
      </c>
      <c r="U10" s="22" t="s">
        <v>40</v>
      </c>
      <c r="V10" s="22" t="s">
        <v>41</v>
      </c>
      <c r="W10" s="22" t="s">
        <v>427</v>
      </c>
      <c r="X10" s="22" t="s">
        <v>428</v>
      </c>
      <c r="Y10" t="s">
        <v>1031</v>
      </c>
      <c r="AD10" t="s">
        <v>899</v>
      </c>
      <c r="AG10" t="s">
        <v>880</v>
      </c>
      <c r="AM10" t="s">
        <v>881</v>
      </c>
    </row>
    <row r="11" spans="1:40">
      <c r="B11" s="2"/>
      <c r="C11" s="5"/>
      <c r="D11" s="2"/>
      <c r="E11" s="5"/>
      <c r="F11" s="5"/>
      <c r="G11" s="2"/>
      <c r="H11" s="5"/>
      <c r="I11" s="5"/>
      <c r="J11" s="2"/>
      <c r="K11" s="2"/>
      <c r="L11" s="2"/>
      <c r="M11" s="5"/>
      <c r="N11" s="2"/>
      <c r="O11" s="2"/>
      <c r="P11" s="2"/>
      <c r="Q11" s="1"/>
      <c r="R11" s="4"/>
      <c r="T11" s="22" t="s">
        <v>34</v>
      </c>
      <c r="U11" s="22" t="s">
        <v>40</v>
      </c>
      <c r="V11" s="22" t="s">
        <v>119</v>
      </c>
      <c r="W11" s="22" t="s">
        <v>266</v>
      </c>
      <c r="X11" s="22" t="s">
        <v>207</v>
      </c>
    </row>
    <row r="12" spans="1:40">
      <c r="A12" t="s">
        <v>437</v>
      </c>
      <c r="B12" s="2" t="s">
        <v>25</v>
      </c>
      <c r="C12" s="5" t="s">
        <v>33</v>
      </c>
      <c r="D12" s="2" t="s">
        <v>25</v>
      </c>
      <c r="E12" s="5" t="s">
        <v>33</v>
      </c>
      <c r="F12" s="5" t="s">
        <v>33</v>
      </c>
      <c r="G12" s="2" t="s">
        <v>25</v>
      </c>
      <c r="H12" s="5" t="s">
        <v>33</v>
      </c>
      <c r="I12" s="5" t="s">
        <v>33</v>
      </c>
      <c r="J12" s="2" t="s">
        <v>25</v>
      </c>
      <c r="K12" s="2" t="s">
        <v>25</v>
      </c>
      <c r="L12" s="2" t="s">
        <v>25</v>
      </c>
      <c r="M12" s="5" t="s">
        <v>33</v>
      </c>
      <c r="N12" s="2" t="s">
        <v>25</v>
      </c>
      <c r="O12" s="5" t="s">
        <v>33</v>
      </c>
      <c r="P12" s="2">
        <f>COUNTIF(B12:O12,"✔")</f>
        <v>7</v>
      </c>
      <c r="Q12" s="1">
        <f>P12/14</f>
        <v>0.5</v>
      </c>
      <c r="R12" s="4" t="s">
        <v>26</v>
      </c>
      <c r="S12" t="s">
        <v>178</v>
      </c>
      <c r="T12" s="22" t="s">
        <v>34</v>
      </c>
      <c r="U12" s="22" t="s">
        <v>40</v>
      </c>
      <c r="V12" s="22" t="s">
        <v>41</v>
      </c>
      <c r="W12" s="22" t="s">
        <v>427</v>
      </c>
      <c r="X12" s="22" t="s">
        <v>428</v>
      </c>
      <c r="Y12" t="s">
        <v>1032</v>
      </c>
      <c r="AD12" t="s">
        <v>899</v>
      </c>
      <c r="AG12" t="s">
        <v>880</v>
      </c>
      <c r="AM12" t="s">
        <v>881</v>
      </c>
    </row>
    <row r="13" spans="1:40">
      <c r="A13" t="s">
        <v>438</v>
      </c>
      <c r="B13" s="2" t="s">
        <v>25</v>
      </c>
      <c r="C13" s="5" t="s">
        <v>33</v>
      </c>
      <c r="D13" s="2" t="s">
        <v>25</v>
      </c>
      <c r="E13" s="5" t="s">
        <v>33</v>
      </c>
      <c r="F13" s="5" t="s">
        <v>33</v>
      </c>
      <c r="G13" s="2" t="s">
        <v>25</v>
      </c>
      <c r="H13" s="5" t="s">
        <v>33</v>
      </c>
      <c r="I13" s="5" t="s">
        <v>33</v>
      </c>
      <c r="J13" s="2" t="s">
        <v>25</v>
      </c>
      <c r="K13" s="2" t="s">
        <v>25</v>
      </c>
      <c r="L13" s="2" t="s">
        <v>25</v>
      </c>
      <c r="M13" s="5" t="s">
        <v>33</v>
      </c>
      <c r="N13" s="2" t="s">
        <v>25</v>
      </c>
      <c r="O13" s="5" t="s">
        <v>33</v>
      </c>
      <c r="P13" s="2">
        <f>COUNTIF(B13:O13,"✔")</f>
        <v>7</v>
      </c>
      <c r="Q13" s="1">
        <f>P13/14</f>
        <v>0.5</v>
      </c>
      <c r="R13" s="4" t="s">
        <v>26</v>
      </c>
      <c r="S13" t="s">
        <v>178</v>
      </c>
      <c r="T13" s="22" t="s">
        <v>34</v>
      </c>
      <c r="U13" s="22" t="s">
        <v>40</v>
      </c>
      <c r="V13" s="22" t="s">
        <v>205</v>
      </c>
      <c r="W13" s="22" t="s">
        <v>206</v>
      </c>
      <c r="X13" s="22" t="s">
        <v>207</v>
      </c>
      <c r="Y13" t="s">
        <v>1033</v>
      </c>
      <c r="AD13" t="s">
        <v>899</v>
      </c>
      <c r="AG13" t="s">
        <v>910</v>
      </c>
      <c r="AM13" t="s">
        <v>881</v>
      </c>
    </row>
    <row r="14" spans="1:40">
      <c r="B14" s="2"/>
      <c r="C14" s="5"/>
      <c r="D14" s="2"/>
      <c r="E14" s="5"/>
      <c r="F14" s="5"/>
      <c r="G14" s="2"/>
      <c r="H14" s="5"/>
      <c r="I14" s="5"/>
      <c r="J14" s="2"/>
      <c r="K14" s="2"/>
      <c r="L14" s="2"/>
      <c r="M14" s="5"/>
      <c r="N14" s="2"/>
      <c r="O14" s="2"/>
      <c r="P14" s="2"/>
      <c r="Q14" s="1"/>
      <c r="R14" s="4"/>
      <c r="T14" s="22" t="s">
        <v>34</v>
      </c>
      <c r="U14" s="22" t="s">
        <v>40</v>
      </c>
      <c r="V14" s="22" t="s">
        <v>119</v>
      </c>
      <c r="W14" s="22" t="s">
        <v>266</v>
      </c>
      <c r="X14" s="22" t="s">
        <v>207</v>
      </c>
    </row>
    <row r="15" spans="1:40">
      <c r="A15" t="s">
        <v>439</v>
      </c>
      <c r="B15" s="5" t="s">
        <v>33</v>
      </c>
      <c r="C15" s="5" t="s">
        <v>33</v>
      </c>
      <c r="D15" s="5" t="s">
        <v>33</v>
      </c>
      <c r="E15" s="5" t="s">
        <v>33</v>
      </c>
      <c r="F15" s="5" t="s">
        <v>33</v>
      </c>
      <c r="G15" s="2" t="s">
        <v>25</v>
      </c>
      <c r="H15" s="5" t="s">
        <v>33</v>
      </c>
      <c r="I15" s="5" t="s">
        <v>33</v>
      </c>
      <c r="J15" s="5" t="s">
        <v>33</v>
      </c>
      <c r="K15" s="2" t="s">
        <v>25</v>
      </c>
      <c r="L15" s="5" t="s">
        <v>33</v>
      </c>
      <c r="M15" s="5" t="s">
        <v>33</v>
      </c>
      <c r="N15" s="2" t="s">
        <v>25</v>
      </c>
      <c r="O15" s="5" t="s">
        <v>33</v>
      </c>
      <c r="P15" s="2">
        <f>COUNTIF(B15:O15,"✔")</f>
        <v>3</v>
      </c>
      <c r="Q15" s="1">
        <f>P15/14</f>
        <v>0.21428571428571427</v>
      </c>
      <c r="R15" s="4" t="s">
        <v>26</v>
      </c>
      <c r="S15" t="s">
        <v>178</v>
      </c>
      <c r="T15" s="22" t="s">
        <v>34</v>
      </c>
      <c r="U15" s="22" t="s">
        <v>40</v>
      </c>
      <c r="V15" s="22" t="s">
        <v>205</v>
      </c>
      <c r="W15" s="22" t="s">
        <v>206</v>
      </c>
      <c r="X15" s="22" t="s">
        <v>207</v>
      </c>
      <c r="Y15" t="s">
        <v>1034</v>
      </c>
      <c r="AD15" t="s">
        <v>899</v>
      </c>
      <c r="AG15" t="s">
        <v>910</v>
      </c>
      <c r="AM15" t="s">
        <v>881</v>
      </c>
    </row>
    <row r="16" spans="1:40">
      <c r="A16" s="14" t="s">
        <v>440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17"/>
      <c r="R16" s="65"/>
      <c r="S16" s="66"/>
      <c r="T16" s="31"/>
      <c r="U16" s="31"/>
      <c r="V16" s="31"/>
      <c r="W16" s="31"/>
      <c r="X16" s="31"/>
    </row>
    <row r="17" spans="1:39">
      <c r="A17" t="s">
        <v>441</v>
      </c>
      <c r="B17" s="2" t="s">
        <v>25</v>
      </c>
      <c r="C17" s="5" t="s">
        <v>33</v>
      </c>
      <c r="D17" s="5" t="s">
        <v>33</v>
      </c>
      <c r="E17" s="2" t="s">
        <v>25</v>
      </c>
      <c r="F17" s="5" t="s">
        <v>33</v>
      </c>
      <c r="G17" s="5" t="s">
        <v>33</v>
      </c>
      <c r="H17" s="2" t="s">
        <v>25</v>
      </c>
      <c r="I17" s="5" t="s">
        <v>33</v>
      </c>
      <c r="J17" s="5" t="s">
        <v>33</v>
      </c>
      <c r="K17" s="2" t="s">
        <v>25</v>
      </c>
      <c r="L17" s="2" t="s">
        <v>25</v>
      </c>
      <c r="M17" s="5" t="s">
        <v>33</v>
      </c>
      <c r="N17" s="5" t="s">
        <v>33</v>
      </c>
      <c r="O17" s="5" t="s">
        <v>33</v>
      </c>
      <c r="P17" s="2">
        <f>COUNTIF(B17:O17,"✔")</f>
        <v>5</v>
      </c>
      <c r="Q17" s="1">
        <f>P17/14</f>
        <v>0.35714285714285715</v>
      </c>
      <c r="R17" s="4" t="s">
        <v>26</v>
      </c>
      <c r="S17" t="s">
        <v>431</v>
      </c>
      <c r="T17" s="22" t="s">
        <v>28</v>
      </c>
      <c r="U17" s="22" t="s">
        <v>40</v>
      </c>
      <c r="V17" s="22" t="s">
        <v>41</v>
      </c>
      <c r="W17" s="22" t="s">
        <v>442</v>
      </c>
      <c r="X17" s="22" t="s">
        <v>443</v>
      </c>
      <c r="Y17" t="s">
        <v>1035</v>
      </c>
      <c r="AD17" t="s">
        <v>899</v>
      </c>
      <c r="AG17" t="s">
        <v>880</v>
      </c>
      <c r="AM17" t="s">
        <v>881</v>
      </c>
    </row>
    <row r="18" spans="1:39">
      <c r="B18" s="2"/>
      <c r="C18" s="5"/>
      <c r="D18" s="5"/>
      <c r="E18" s="2"/>
      <c r="F18" s="5"/>
      <c r="G18" s="5"/>
      <c r="H18" s="2"/>
      <c r="I18" s="5"/>
      <c r="J18" s="5"/>
      <c r="K18" s="5"/>
      <c r="L18" s="2"/>
      <c r="M18" s="5"/>
      <c r="N18" s="5"/>
      <c r="O18" s="5"/>
      <c r="P18" s="2"/>
      <c r="Q18" s="1"/>
      <c r="R18" s="4"/>
      <c r="T18" s="22" t="s">
        <v>34</v>
      </c>
      <c r="U18" s="22" t="s">
        <v>40</v>
      </c>
      <c r="V18" s="22" t="s">
        <v>41</v>
      </c>
      <c r="W18" s="22" t="s">
        <v>444</v>
      </c>
      <c r="X18" s="22" t="s">
        <v>445</v>
      </c>
    </row>
    <row r="19" spans="1:39">
      <c r="A19" t="s">
        <v>446</v>
      </c>
      <c r="B19" s="2" t="s">
        <v>25</v>
      </c>
      <c r="C19" s="5" t="s">
        <v>33</v>
      </c>
      <c r="D19" s="5" t="s">
        <v>33</v>
      </c>
      <c r="E19" s="2" t="s">
        <v>25</v>
      </c>
      <c r="F19" s="5" t="s">
        <v>33</v>
      </c>
      <c r="G19" s="5" t="s">
        <v>33</v>
      </c>
      <c r="H19" s="5" t="s">
        <v>33</v>
      </c>
      <c r="I19" s="5" t="s">
        <v>33</v>
      </c>
      <c r="J19" s="5" t="s">
        <v>33</v>
      </c>
      <c r="K19" s="5" t="s">
        <v>33</v>
      </c>
      <c r="L19" s="5" t="s">
        <v>33</v>
      </c>
      <c r="M19" s="5" t="s">
        <v>33</v>
      </c>
      <c r="N19" s="2" t="s">
        <v>25</v>
      </c>
      <c r="O19" s="5" t="s">
        <v>33</v>
      </c>
      <c r="P19" s="2">
        <f>COUNTIF(B19:O19,"✔")</f>
        <v>3</v>
      </c>
      <c r="Q19" s="1">
        <f>P19/14</f>
        <v>0.21428571428571427</v>
      </c>
      <c r="R19" s="4" t="s">
        <v>26</v>
      </c>
      <c r="S19" t="s">
        <v>431</v>
      </c>
      <c r="T19" s="22" t="s">
        <v>28</v>
      </c>
      <c r="U19" s="22" t="s">
        <v>40</v>
      </c>
      <c r="V19" s="22" t="s">
        <v>41</v>
      </c>
      <c r="W19" s="22" t="s">
        <v>447</v>
      </c>
      <c r="X19" s="22" t="s">
        <v>448</v>
      </c>
      <c r="Y19" t="s">
        <v>1036</v>
      </c>
      <c r="AD19" t="s">
        <v>899</v>
      </c>
      <c r="AG19" t="s">
        <v>880</v>
      </c>
      <c r="AM19" t="s">
        <v>881</v>
      </c>
    </row>
    <row r="20" spans="1:39">
      <c r="B20" s="2"/>
      <c r="C20" s="5"/>
      <c r="D20" s="5"/>
      <c r="E20" s="2"/>
      <c r="F20" s="5"/>
      <c r="G20" s="5"/>
      <c r="H20" s="5"/>
      <c r="I20" s="5"/>
      <c r="J20" s="5"/>
      <c r="K20" s="2"/>
      <c r="L20" s="5"/>
      <c r="M20" s="5"/>
      <c r="N20" s="2"/>
      <c r="O20" s="2"/>
      <c r="P20" s="2"/>
      <c r="Q20" s="1"/>
      <c r="R20" s="4"/>
      <c r="T20" s="22" t="s">
        <v>28</v>
      </c>
      <c r="U20" s="22" t="s">
        <v>40</v>
      </c>
      <c r="V20" s="22" t="s">
        <v>41</v>
      </c>
      <c r="W20" s="22" t="s">
        <v>449</v>
      </c>
      <c r="X20" s="22" t="s">
        <v>448</v>
      </c>
    </row>
    <row r="21" spans="1:39">
      <c r="A21" t="s">
        <v>450</v>
      </c>
      <c r="B21" s="2" t="s">
        <v>25</v>
      </c>
      <c r="C21" s="5" t="s">
        <v>33</v>
      </c>
      <c r="D21" s="5" t="s">
        <v>33</v>
      </c>
      <c r="E21" s="2" t="s">
        <v>25</v>
      </c>
      <c r="F21" s="5" t="s">
        <v>33</v>
      </c>
      <c r="G21" s="5" t="s">
        <v>33</v>
      </c>
      <c r="H21" s="2" t="s">
        <v>25</v>
      </c>
      <c r="I21" s="5" t="s">
        <v>33</v>
      </c>
      <c r="J21" s="5" t="s">
        <v>33</v>
      </c>
      <c r="K21" s="5" t="s">
        <v>33</v>
      </c>
      <c r="L21" s="5" t="s">
        <v>33</v>
      </c>
      <c r="M21" s="5" t="s">
        <v>33</v>
      </c>
      <c r="N21" s="5" t="s">
        <v>33</v>
      </c>
      <c r="O21" s="5" t="s">
        <v>33</v>
      </c>
      <c r="P21" s="2">
        <f>COUNTIF(B21:O21,"✔")</f>
        <v>3</v>
      </c>
      <c r="Q21" s="1">
        <f>P21/14</f>
        <v>0.21428571428571427</v>
      </c>
      <c r="R21" s="4" t="s">
        <v>26</v>
      </c>
      <c r="S21" t="s">
        <v>431</v>
      </c>
      <c r="T21" s="22" t="s">
        <v>34</v>
      </c>
      <c r="U21" s="22" t="s">
        <v>40</v>
      </c>
      <c r="V21" s="22" t="s">
        <v>41</v>
      </c>
      <c r="W21" s="22" t="s">
        <v>444</v>
      </c>
      <c r="X21" s="22" t="s">
        <v>445</v>
      </c>
      <c r="Y21" t="s">
        <v>1037</v>
      </c>
      <c r="AD21" t="s">
        <v>899</v>
      </c>
      <c r="AG21" t="s">
        <v>880</v>
      </c>
      <c r="AM21" t="s">
        <v>881</v>
      </c>
    </row>
    <row r="22" spans="1:39">
      <c r="A22" s="14" t="s">
        <v>451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17"/>
      <c r="R22" s="65"/>
      <c r="S22" s="66"/>
      <c r="T22" s="31"/>
      <c r="U22" s="31"/>
      <c r="V22" s="31"/>
      <c r="W22" s="31"/>
      <c r="X22" s="31"/>
    </row>
    <row r="23" spans="1:39">
      <c r="A23" t="s">
        <v>452</v>
      </c>
      <c r="B23" s="2" t="s">
        <v>25</v>
      </c>
      <c r="C23" s="2" t="s">
        <v>25</v>
      </c>
      <c r="D23" s="2" t="s">
        <v>25</v>
      </c>
      <c r="E23" s="2" t="s">
        <v>25</v>
      </c>
      <c r="F23" s="2" t="s">
        <v>25</v>
      </c>
      <c r="G23" s="2" t="s">
        <v>25</v>
      </c>
      <c r="H23" s="5" t="s">
        <v>33</v>
      </c>
      <c r="I23" s="5" t="s">
        <v>33</v>
      </c>
      <c r="J23" s="2" t="s">
        <v>25</v>
      </c>
      <c r="K23" s="5" t="s">
        <v>33</v>
      </c>
      <c r="L23" s="2" t="s">
        <v>25</v>
      </c>
      <c r="M23" s="5" t="s">
        <v>33</v>
      </c>
      <c r="N23" s="2" t="s">
        <v>25</v>
      </c>
      <c r="O23" s="5" t="s">
        <v>33</v>
      </c>
      <c r="P23" s="2">
        <f>COUNTIF(B23:O23,"✔")</f>
        <v>9</v>
      </c>
      <c r="Q23" s="1">
        <f>P23/14</f>
        <v>0.6428571428571429</v>
      </c>
      <c r="R23" s="4" t="s">
        <v>26</v>
      </c>
      <c r="S23" t="s">
        <v>351</v>
      </c>
      <c r="T23" s="22" t="s">
        <v>34</v>
      </c>
      <c r="U23" s="22" t="s">
        <v>40</v>
      </c>
      <c r="V23" s="22" t="s">
        <v>41</v>
      </c>
      <c r="W23" s="22" t="s">
        <v>453</v>
      </c>
      <c r="X23" s="22" t="s">
        <v>454</v>
      </c>
      <c r="Y23" t="s">
        <v>1038</v>
      </c>
      <c r="AD23" t="s">
        <v>899</v>
      </c>
      <c r="AG23" t="s">
        <v>880</v>
      </c>
      <c r="AM23" t="s">
        <v>881</v>
      </c>
    </row>
    <row r="24" spans="1:39">
      <c r="A24" t="s">
        <v>455</v>
      </c>
      <c r="B24" s="2" t="s">
        <v>25</v>
      </c>
      <c r="C24" s="2" t="s">
        <v>25</v>
      </c>
      <c r="D24" s="5" t="s">
        <v>33</v>
      </c>
      <c r="E24" s="5" t="s">
        <v>33</v>
      </c>
      <c r="F24" s="2" t="s">
        <v>25</v>
      </c>
      <c r="G24" s="5" t="s">
        <v>33</v>
      </c>
      <c r="H24" s="2" t="s">
        <v>25</v>
      </c>
      <c r="I24" s="5" t="s">
        <v>33</v>
      </c>
      <c r="J24" s="5" t="s">
        <v>33</v>
      </c>
      <c r="K24" s="5" t="s">
        <v>33</v>
      </c>
      <c r="L24" s="2" t="s">
        <v>25</v>
      </c>
      <c r="M24" s="5" t="s">
        <v>33</v>
      </c>
      <c r="N24" s="5" t="s">
        <v>33</v>
      </c>
      <c r="O24" s="5" t="s">
        <v>33</v>
      </c>
      <c r="P24" s="2">
        <f>COUNTIF(B24:O24,"✔")</f>
        <v>5</v>
      </c>
      <c r="Q24" s="1">
        <f>P24/14</f>
        <v>0.35714285714285715</v>
      </c>
      <c r="R24" s="4" t="s">
        <v>26</v>
      </c>
      <c r="S24" t="s">
        <v>431</v>
      </c>
      <c r="T24" s="22" t="s">
        <v>34</v>
      </c>
      <c r="U24" s="22" t="s">
        <v>40</v>
      </c>
      <c r="V24" s="22" t="s">
        <v>41</v>
      </c>
      <c r="W24" s="22" t="s">
        <v>453</v>
      </c>
      <c r="X24" s="22" t="s">
        <v>454</v>
      </c>
      <c r="Y24" t="s">
        <v>1039</v>
      </c>
      <c r="AD24" t="s">
        <v>899</v>
      </c>
      <c r="AG24" t="s">
        <v>880</v>
      </c>
      <c r="AM24" t="s">
        <v>881</v>
      </c>
    </row>
    <row r="25" spans="1:39">
      <c r="A25" t="s">
        <v>456</v>
      </c>
      <c r="B25" s="5" t="s">
        <v>33</v>
      </c>
      <c r="C25" s="5" t="s">
        <v>33</v>
      </c>
      <c r="D25" s="5" t="s">
        <v>33</v>
      </c>
      <c r="E25" s="2" t="s">
        <v>25</v>
      </c>
      <c r="F25" s="5" t="s">
        <v>33</v>
      </c>
      <c r="G25" s="5" t="s">
        <v>33</v>
      </c>
      <c r="H25" s="2" t="s">
        <v>25</v>
      </c>
      <c r="I25" s="5" t="s">
        <v>33</v>
      </c>
      <c r="J25" s="2" t="s">
        <v>25</v>
      </c>
      <c r="K25" s="5" t="s">
        <v>33</v>
      </c>
      <c r="L25" s="2" t="s">
        <v>25</v>
      </c>
      <c r="M25" s="5" t="s">
        <v>33</v>
      </c>
      <c r="N25" s="2" t="s">
        <v>25</v>
      </c>
      <c r="O25" s="5" t="s">
        <v>33</v>
      </c>
      <c r="P25" s="2">
        <f>COUNTIF(B25:O25,"✔")</f>
        <v>5</v>
      </c>
      <c r="Q25" s="1">
        <f>P25/14</f>
        <v>0.35714285714285715</v>
      </c>
      <c r="R25" s="4" t="s">
        <v>26</v>
      </c>
      <c r="S25" t="s">
        <v>431</v>
      </c>
      <c r="T25" s="22" t="s">
        <v>34</v>
      </c>
      <c r="U25" s="22" t="s">
        <v>40</v>
      </c>
      <c r="V25" s="22" t="s">
        <v>41</v>
      </c>
      <c r="W25" s="22" t="s">
        <v>453</v>
      </c>
      <c r="X25" s="22" t="s">
        <v>454</v>
      </c>
      <c r="Y25" t="s">
        <v>1040</v>
      </c>
      <c r="AD25" t="s">
        <v>899</v>
      </c>
      <c r="AG25" t="s">
        <v>880</v>
      </c>
      <c r="AM25" t="s">
        <v>881</v>
      </c>
    </row>
    <row r="26" spans="1:39">
      <c r="A26" t="s">
        <v>457</v>
      </c>
      <c r="B26" s="5" t="s">
        <v>33</v>
      </c>
      <c r="C26" s="5" t="s">
        <v>33</v>
      </c>
      <c r="D26" s="2" t="s">
        <v>25</v>
      </c>
      <c r="E26" s="5" t="s">
        <v>33</v>
      </c>
      <c r="F26" s="5" t="s">
        <v>33</v>
      </c>
      <c r="G26" s="2" t="s">
        <v>25</v>
      </c>
      <c r="H26" s="5" t="s">
        <v>33</v>
      </c>
      <c r="I26" s="5" t="s">
        <v>33</v>
      </c>
      <c r="J26" s="5" t="s">
        <v>33</v>
      </c>
      <c r="K26" s="5" t="s">
        <v>33</v>
      </c>
      <c r="L26" s="2" t="s">
        <v>25</v>
      </c>
      <c r="M26" s="5" t="s">
        <v>33</v>
      </c>
      <c r="N26" s="5" t="s">
        <v>33</v>
      </c>
      <c r="O26" s="5" t="s">
        <v>33</v>
      </c>
      <c r="P26" s="2">
        <f>COUNTIF(B26:O26,"✔")</f>
        <v>3</v>
      </c>
      <c r="Q26" s="1">
        <f>P26/14</f>
        <v>0.21428571428571427</v>
      </c>
      <c r="R26" s="4" t="s">
        <v>26</v>
      </c>
      <c r="S26" t="s">
        <v>351</v>
      </c>
      <c r="T26" s="22" t="s">
        <v>34</v>
      </c>
      <c r="U26" s="22" t="s">
        <v>40</v>
      </c>
      <c r="V26" s="22" t="s">
        <v>41</v>
      </c>
      <c r="W26" s="22" t="s">
        <v>453</v>
      </c>
      <c r="X26" s="22" t="s">
        <v>454</v>
      </c>
      <c r="Y26" t="s">
        <v>1041</v>
      </c>
      <c r="AD26" t="s">
        <v>899</v>
      </c>
      <c r="AG26" t="s">
        <v>880</v>
      </c>
      <c r="AM26" t="s">
        <v>881</v>
      </c>
    </row>
    <row r="27" spans="1:39">
      <c r="A27" s="14" t="s">
        <v>458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17"/>
      <c r="R27" s="65"/>
      <c r="S27" s="66"/>
      <c r="T27" s="31"/>
      <c r="U27" s="31"/>
      <c r="V27" s="31"/>
      <c r="W27" s="31"/>
      <c r="X27" s="31"/>
    </row>
    <row r="28" spans="1:39">
      <c r="A28" t="s">
        <v>459</v>
      </c>
      <c r="B28" s="2" t="s">
        <v>25</v>
      </c>
      <c r="C28" s="2" t="s">
        <v>25</v>
      </c>
      <c r="D28" s="5" t="s">
        <v>33</v>
      </c>
      <c r="E28" s="5" t="s">
        <v>33</v>
      </c>
      <c r="F28" s="5" t="s">
        <v>33</v>
      </c>
      <c r="G28" s="5" t="s">
        <v>33</v>
      </c>
      <c r="H28" s="5" t="s">
        <v>33</v>
      </c>
      <c r="I28" s="5" t="s">
        <v>33</v>
      </c>
      <c r="J28" s="2" t="s">
        <v>25</v>
      </c>
      <c r="K28" s="5" t="s">
        <v>33</v>
      </c>
      <c r="L28" s="5" t="s">
        <v>33</v>
      </c>
      <c r="M28" s="5" t="s">
        <v>33</v>
      </c>
      <c r="N28" s="2" t="s">
        <v>25</v>
      </c>
      <c r="O28" s="5" t="s">
        <v>33</v>
      </c>
      <c r="P28" s="2">
        <f>COUNTIF(B28:O28,"✔")</f>
        <v>4</v>
      </c>
      <c r="Q28" s="1">
        <f>P28/14</f>
        <v>0.2857142857142857</v>
      </c>
      <c r="R28" s="4" t="s">
        <v>26</v>
      </c>
      <c r="S28" t="s">
        <v>351</v>
      </c>
      <c r="T28" s="22" t="s">
        <v>34</v>
      </c>
      <c r="U28" s="22" t="s">
        <v>40</v>
      </c>
      <c r="V28" s="22" t="s">
        <v>41</v>
      </c>
      <c r="W28" s="22" t="s">
        <v>427</v>
      </c>
      <c r="X28" s="22" t="s">
        <v>428</v>
      </c>
      <c r="Y28" t="s">
        <v>1042</v>
      </c>
      <c r="AD28" t="s">
        <v>899</v>
      </c>
      <c r="AG28" t="s">
        <v>880</v>
      </c>
      <c r="AM28" t="s">
        <v>881</v>
      </c>
    </row>
    <row r="29" spans="1:39">
      <c r="B29" s="2"/>
      <c r="C29" s="2"/>
      <c r="D29" s="5"/>
      <c r="E29" s="5"/>
      <c r="F29" s="5"/>
      <c r="G29" s="5"/>
      <c r="H29" s="5"/>
      <c r="I29" s="5"/>
      <c r="J29" s="2"/>
      <c r="K29" s="5"/>
      <c r="L29" s="5"/>
      <c r="M29" s="5"/>
      <c r="N29" s="2"/>
      <c r="O29" s="2"/>
      <c r="P29" s="2"/>
      <c r="Q29" s="1"/>
      <c r="R29" s="4"/>
      <c r="T29" s="22" t="s">
        <v>34</v>
      </c>
      <c r="U29" s="22" t="s">
        <v>40</v>
      </c>
      <c r="V29" s="22" t="s">
        <v>41</v>
      </c>
      <c r="W29" s="22" t="s">
        <v>453</v>
      </c>
      <c r="X29" s="22" t="s">
        <v>454</v>
      </c>
    </row>
    <row r="30" spans="1:39">
      <c r="A30" t="s">
        <v>460</v>
      </c>
      <c r="B30" s="5" t="s">
        <v>33</v>
      </c>
      <c r="C30" s="5" t="s">
        <v>33</v>
      </c>
      <c r="D30" s="5" t="s">
        <v>33</v>
      </c>
      <c r="E30" s="5" t="s">
        <v>33</v>
      </c>
      <c r="F30" s="5" t="s">
        <v>33</v>
      </c>
      <c r="G30" s="5" t="s">
        <v>33</v>
      </c>
      <c r="H30" s="5" t="s">
        <v>33</v>
      </c>
      <c r="I30" s="5" t="s">
        <v>33</v>
      </c>
      <c r="J30" s="2" t="s">
        <v>25</v>
      </c>
      <c r="K30" s="2" t="s">
        <v>25</v>
      </c>
      <c r="L30" s="5" t="s">
        <v>33</v>
      </c>
      <c r="M30" s="5" t="s">
        <v>33</v>
      </c>
      <c r="N30" s="5" t="s">
        <v>33</v>
      </c>
      <c r="O30" s="5" t="s">
        <v>33</v>
      </c>
      <c r="P30" s="2">
        <f>COUNTIF(B30:O30,"✔")</f>
        <v>2</v>
      </c>
      <c r="Q30" s="1">
        <f>P30/14</f>
        <v>0.14285714285714285</v>
      </c>
      <c r="R30" s="4" t="s">
        <v>26</v>
      </c>
      <c r="S30" t="s">
        <v>351</v>
      </c>
      <c r="T30" s="22" t="s">
        <v>34</v>
      </c>
      <c r="U30" s="22" t="s">
        <v>40</v>
      </c>
      <c r="V30" s="22" t="s">
        <v>41</v>
      </c>
      <c r="W30" s="22" t="s">
        <v>427</v>
      </c>
      <c r="X30" s="22" t="s">
        <v>428</v>
      </c>
      <c r="Y30" t="s">
        <v>1043</v>
      </c>
      <c r="AD30" t="s">
        <v>899</v>
      </c>
      <c r="AG30" t="s">
        <v>880</v>
      </c>
      <c r="AM30" t="s">
        <v>881</v>
      </c>
    </row>
    <row r="31" spans="1:39">
      <c r="B31" s="2"/>
      <c r="C31" s="5"/>
      <c r="D31" s="5"/>
      <c r="E31" s="5"/>
      <c r="F31" s="5"/>
      <c r="G31" s="5"/>
      <c r="H31" s="5"/>
      <c r="I31" s="5"/>
      <c r="J31" s="5"/>
      <c r="K31" s="2"/>
      <c r="L31" s="5"/>
      <c r="M31" s="2"/>
      <c r="N31" s="5"/>
      <c r="O31" s="5"/>
      <c r="P31" s="2"/>
      <c r="Q31" s="1"/>
      <c r="R31" s="4"/>
      <c r="T31" s="22" t="s">
        <v>34</v>
      </c>
      <c r="U31" s="22" t="s">
        <v>40</v>
      </c>
      <c r="V31" s="22" t="s">
        <v>41</v>
      </c>
      <c r="W31" s="22" t="s">
        <v>427</v>
      </c>
      <c r="X31" s="22" t="s">
        <v>428</v>
      </c>
    </row>
  </sheetData>
  <dataValidations count="7">
    <dataValidation type="list" allowBlank="1" showInputMessage="1" sqref="AA2:AA31" xr:uid="{3577E6C7-0978-4007-BCAC-12319D94145C}">
      <mc:AlternateContent xmlns:x12ac="http://schemas.microsoft.com/office/spreadsheetml/2011/1/ac" xmlns:mc="http://schemas.openxmlformats.org/markup-compatibility/2006">
        <mc:Choice Requires="x12ac">
          <x12ac:list>"Mandatory,Optional,Out of scope,N/A"</x12ac:list>
        </mc:Choice>
        <mc:Fallback>
          <formula1>"Mandatory,Optional,Out of scope,N/A"</formula1>
        </mc:Fallback>
      </mc:AlternateContent>
    </dataValidation>
    <dataValidation type="list" allowBlank="1" showInputMessage="1" sqref="AD2:AD31" xr:uid="{4B9F98BE-63C1-496C-A913-4D657108F2E9}">
      <mc:AlternateContent xmlns:x12ac="http://schemas.microsoft.com/office/spreadsheetml/2011/1/ac" xmlns:mc="http://schemas.openxmlformats.org/markup-compatibility/2006">
        <mc:Choice Requires="x12ac">
          <x12ac:list>"numeric,categorical,boolean,date,text,document,geometry,time series,reference,composite"</x12ac:list>
        </mc:Choice>
        <mc:Fallback>
          <formula1>"numeric,categorical,boolean,date,text,document,geometry,time series,reference,composite"</formula1>
        </mc:Fallback>
      </mc:AlternateContent>
    </dataValidation>
    <dataValidation type="list" allowBlank="1" showInputMessage="1" sqref="AG2:AG31" xr:uid="{02121726-FFC9-452B-899A-7960C90A83C4}">
      <mc:AlternateContent xmlns:x12ac="http://schemas.microsoft.com/office/spreadsheetml/2011/1/ac" xmlns:mc="http://schemas.openxmlformats.org/markup-compatibility/2006">
        <mc:Choice Requires="x12ac">
          <x12ac:list>"building,unit,zone,component,site / context,any level"</x12ac:list>
        </mc:Choice>
        <mc:Fallback>
          <formula1>"building,unit,zone,component,site / context,any level"</formula1>
        </mc:Fallback>
      </mc:AlternateContent>
    </dataValidation>
    <dataValidation type="list" allowBlank="1" showInputMessage="1" sqref="AH2:AH31" xr:uid="{BE70FA31-A6B1-45BE-8FBC-2CB3E8DED62F}">
      <mc:AlternateContent xmlns:x12ac="http://schemas.microsoft.com/office/spreadsheetml/2011/1/ac" xmlns:mc="http://schemas.openxmlformats.org/markup-compatibility/2006">
        <mc:Choice Requires="x12ac">
          <x12ac:list>"static,historical,periodic,real-time"</x12ac:list>
        </mc:Choice>
        <mc:Fallback>
          <formula1>"static,historical,periodic,real-time"</formula1>
        </mc:Fallback>
      </mc:AlternateContent>
    </dataValidation>
    <dataValidation type="list" allowBlank="1" showInputMessage="1" sqref="AI2:AI31" xr:uid="{DA72B58D-34B5-461B-9849-FB5F5EB7F5A9}">
      <mc:AlternateContent xmlns:x12ac="http://schemas.microsoft.com/office/spreadsheetml/2011/1/ac" xmlns:mc="http://schemas.openxmlformats.org/markup-compatibility/2006">
        <mc:Choice Requires="x12ac">
          <x12ac:list>"Public,Restricted,Personal data (GDPR),Commercially sensitive"</x12ac:list>
        </mc:Choice>
        <mc:Fallback>
          <formula1>"Public,Restricted,Personal data (GDPR),Commercially sensitive"</formula1>
        </mc:Fallback>
      </mc:AlternateContent>
    </dataValidation>
    <dataValidation type="list" allowBlank="1" showInputMessage="1" sqref="AL2:AL31" xr:uid="{9A29E28A-DC80-4415-BA97-C093421F563D}">
      <mc:AlternateContent xmlns:x12ac="http://schemas.microsoft.com/office/spreadsheetml/2011/1/ac" xmlns:mc="http://schemas.openxmlformats.org/markup-compatibility/2006">
        <mc:Choice Requires="x12ac">
          <x12ac:list>"open data,API,manual input,inspection,derived"</x12ac:list>
        </mc:Choice>
        <mc:Fallback>
          <formula1>"open data,API,manual input,inspection,derived"</formula1>
        </mc:Fallback>
      </mc:AlternateContent>
    </dataValidation>
    <dataValidation type="list" allowBlank="1" showInputMessage="1" sqref="AM2:AM31" xr:uid="{DA10814E-CCA1-4DD3-8C04-D0200C8B50E3}">
      <mc:AlternateContent xmlns:x12ac="http://schemas.microsoft.com/office/spreadsheetml/2011/1/ac" xmlns:mc="http://schemas.openxmlformats.org/markup-compatibility/2006">
        <mc:Choice Requires="x12ac">
          <x12ac:list>"Native,Workaround,Extension needed,Out of scope,N/A"</x12ac:list>
        </mc:Choice>
        <mc:Fallback>
          <formula1>"Native,Workaround,Extension needed,Out of scope,N/A"</formula1>
        </mc:Fallback>
      </mc:AlternateContent>
    </dataValidation>
  </dataValidation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AN24"/>
  <sheetViews>
    <sheetView zoomScale="96" zoomScaleNormal="70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S19" sqref="S19"/>
    </sheetView>
  </sheetViews>
  <sheetFormatPr defaultRowHeight="15"/>
  <cols>
    <col min="1" max="1" width="50.7109375" customWidth="1"/>
    <col min="2" max="18" width="13.7109375" customWidth="1"/>
    <col min="19" max="19" width="17.140625" customWidth="1"/>
    <col min="20" max="20" width="17.140625" bestFit="1" customWidth="1"/>
    <col min="21" max="21" width="18.28515625" bestFit="1" customWidth="1"/>
    <col min="22" max="22" width="18.28515625" customWidth="1"/>
    <col min="23" max="23" width="8.28515625" customWidth="1"/>
    <col min="25" max="40" width="16.7109375" customWidth="1"/>
  </cols>
  <sheetData>
    <row r="1" spans="1:40" ht="74.099999999999994" customHeight="1">
      <c r="A1" s="4" t="s">
        <v>461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67" t="s">
        <v>17</v>
      </c>
      <c r="S1" s="67" t="s">
        <v>18</v>
      </c>
      <c r="T1" s="1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862</v>
      </c>
      <c r="Z1" s="3" t="s">
        <v>863</v>
      </c>
      <c r="AA1" s="3" t="s">
        <v>864</v>
      </c>
      <c r="AB1" s="3" t="s">
        <v>865</v>
      </c>
      <c r="AC1" s="3" t="s">
        <v>866</v>
      </c>
      <c r="AD1" s="3" t="s">
        <v>867</v>
      </c>
      <c r="AE1" s="3" t="s">
        <v>868</v>
      </c>
      <c r="AF1" s="3" t="s">
        <v>869</v>
      </c>
      <c r="AG1" s="3" t="s">
        <v>870</v>
      </c>
      <c r="AH1" s="3" t="s">
        <v>871</v>
      </c>
      <c r="AI1" s="3" t="s">
        <v>872</v>
      </c>
      <c r="AJ1" s="3" t="s">
        <v>873</v>
      </c>
      <c r="AK1" s="3" t="s">
        <v>874</v>
      </c>
      <c r="AL1" s="3" t="s">
        <v>875</v>
      </c>
      <c r="AM1" s="3" t="s">
        <v>876</v>
      </c>
      <c r="AN1" s="3" t="s">
        <v>877</v>
      </c>
    </row>
    <row r="2" spans="1:40">
      <c r="A2" t="s">
        <v>462</v>
      </c>
      <c r="B2" s="2" t="s">
        <v>25</v>
      </c>
      <c r="C2" s="2" t="s">
        <v>25</v>
      </c>
      <c r="D2" s="2" t="s">
        <v>25</v>
      </c>
      <c r="E2" s="2" t="s">
        <v>25</v>
      </c>
      <c r="F2" s="5" t="s">
        <v>33</v>
      </c>
      <c r="G2" s="2" t="s">
        <v>25</v>
      </c>
      <c r="H2" s="5" t="s">
        <v>33</v>
      </c>
      <c r="I2" s="2" t="s">
        <v>25</v>
      </c>
      <c r="J2" s="2" t="s">
        <v>25</v>
      </c>
      <c r="K2" s="2" t="s">
        <v>25</v>
      </c>
      <c r="L2" s="5" t="s">
        <v>33</v>
      </c>
      <c r="M2" s="5" t="s">
        <v>33</v>
      </c>
      <c r="N2" s="2" t="s">
        <v>25</v>
      </c>
      <c r="O2" s="64" t="s">
        <v>25</v>
      </c>
      <c r="P2" s="2">
        <f>COUNTIF(B2:O2,"✔")</f>
        <v>10</v>
      </c>
      <c r="Q2" s="1">
        <f>P2/14</f>
        <v>0.7142857142857143</v>
      </c>
      <c r="R2" s="4" t="s">
        <v>26</v>
      </c>
      <c r="S2" t="s">
        <v>463</v>
      </c>
      <c r="T2" s="22" t="s">
        <v>34</v>
      </c>
      <c r="U2" s="45" t="s">
        <v>40</v>
      </c>
      <c r="V2" s="22" t="s">
        <v>166</v>
      </c>
      <c r="W2" t="s">
        <v>31</v>
      </c>
      <c r="X2" t="s">
        <v>31</v>
      </c>
      <c r="Y2" t="s">
        <v>1044</v>
      </c>
      <c r="AD2" t="s">
        <v>879</v>
      </c>
      <c r="AG2" t="s">
        <v>925</v>
      </c>
      <c r="AM2" t="s">
        <v>881</v>
      </c>
    </row>
    <row r="3" spans="1:40">
      <c r="A3" t="s">
        <v>464</v>
      </c>
      <c r="B3" s="2" t="s">
        <v>25</v>
      </c>
      <c r="C3" s="5" t="s">
        <v>33</v>
      </c>
      <c r="D3" s="2" t="s">
        <v>25</v>
      </c>
      <c r="E3" s="2" t="s">
        <v>25</v>
      </c>
      <c r="F3" s="5" t="s">
        <v>33</v>
      </c>
      <c r="G3" s="2" t="s">
        <v>25</v>
      </c>
      <c r="H3" s="5" t="s">
        <v>33</v>
      </c>
      <c r="I3" s="2" t="s">
        <v>25</v>
      </c>
      <c r="J3" s="2" t="s">
        <v>25</v>
      </c>
      <c r="K3" s="2" t="s">
        <v>25</v>
      </c>
      <c r="L3" s="5" t="s">
        <v>33</v>
      </c>
      <c r="M3" s="5" t="s">
        <v>33</v>
      </c>
      <c r="N3" s="5" t="s">
        <v>33</v>
      </c>
      <c r="O3" s="64" t="s">
        <v>25</v>
      </c>
      <c r="P3" s="2">
        <f>COUNTIF(B3:O3,"✔")</f>
        <v>8</v>
      </c>
      <c r="Q3" s="1">
        <f>P3/14</f>
        <v>0.5714285714285714</v>
      </c>
      <c r="R3" s="4" t="s">
        <v>26</v>
      </c>
      <c r="S3" t="s">
        <v>463</v>
      </c>
      <c r="T3" s="22" t="s">
        <v>34</v>
      </c>
      <c r="U3" s="45" t="s">
        <v>40</v>
      </c>
      <c r="V3" s="22" t="s">
        <v>465</v>
      </c>
      <c r="W3" s="22" t="s">
        <v>466</v>
      </c>
      <c r="X3" s="22" t="s">
        <v>107</v>
      </c>
      <c r="Y3" t="s">
        <v>1045</v>
      </c>
      <c r="AD3" t="s">
        <v>899</v>
      </c>
      <c r="AG3" t="s">
        <v>880</v>
      </c>
      <c r="AM3" t="s">
        <v>881</v>
      </c>
    </row>
    <row r="4" spans="1:40">
      <c r="B4" s="2"/>
      <c r="C4" s="5"/>
      <c r="D4" s="2"/>
      <c r="E4" s="2"/>
      <c r="F4" s="5"/>
      <c r="G4" s="2"/>
      <c r="H4" s="5"/>
      <c r="I4" s="2"/>
      <c r="J4" s="2"/>
      <c r="K4" s="2"/>
      <c r="L4" s="5"/>
      <c r="M4" s="5"/>
      <c r="N4" s="5"/>
      <c r="O4" s="5"/>
      <c r="P4" s="2"/>
      <c r="Q4" s="1"/>
      <c r="R4" s="4"/>
      <c r="T4" s="22" t="s">
        <v>34</v>
      </c>
      <c r="U4" s="45" t="s">
        <v>40</v>
      </c>
      <c r="V4" s="22" t="s">
        <v>465</v>
      </c>
      <c r="W4" s="22" t="s">
        <v>85</v>
      </c>
      <c r="X4" s="22" t="s">
        <v>467</v>
      </c>
    </row>
    <row r="5" spans="1:40">
      <c r="B5" s="2"/>
      <c r="C5" s="5"/>
      <c r="D5" s="2"/>
      <c r="E5" s="2"/>
      <c r="F5" s="5"/>
      <c r="G5" s="2"/>
      <c r="H5" s="5"/>
      <c r="I5" s="2"/>
      <c r="J5" s="2"/>
      <c r="K5" s="2"/>
      <c r="L5" s="5"/>
      <c r="M5" s="5"/>
      <c r="N5" s="5"/>
      <c r="O5" s="5"/>
      <c r="P5" s="2"/>
      <c r="Q5" s="1"/>
      <c r="R5" s="4"/>
      <c r="T5" s="22" t="s">
        <v>34</v>
      </c>
      <c r="U5" s="45" t="s">
        <v>40</v>
      </c>
      <c r="V5" s="22" t="s">
        <v>465</v>
      </c>
      <c r="W5" s="22" t="s">
        <v>468</v>
      </c>
      <c r="X5" s="22" t="s">
        <v>469</v>
      </c>
    </row>
    <row r="6" spans="1:40">
      <c r="A6" t="s">
        <v>470</v>
      </c>
      <c r="B6" s="2" t="s">
        <v>25</v>
      </c>
      <c r="C6" s="2" t="s">
        <v>25</v>
      </c>
      <c r="D6" s="5" t="s">
        <v>33</v>
      </c>
      <c r="E6" s="2" t="s">
        <v>25</v>
      </c>
      <c r="F6" s="5" t="s">
        <v>33</v>
      </c>
      <c r="G6" s="2" t="s">
        <v>25</v>
      </c>
      <c r="H6" s="5" t="s">
        <v>33</v>
      </c>
      <c r="I6" s="2" t="s">
        <v>25</v>
      </c>
      <c r="J6" s="5" t="s">
        <v>33</v>
      </c>
      <c r="K6" s="2" t="s">
        <v>25</v>
      </c>
      <c r="L6" s="5" t="s">
        <v>33</v>
      </c>
      <c r="M6" s="5" t="s">
        <v>33</v>
      </c>
      <c r="N6" s="2" t="s">
        <v>25</v>
      </c>
      <c r="O6" s="64" t="s">
        <v>25</v>
      </c>
      <c r="P6" s="2">
        <f>COUNTIF(B6:O6,"✔")</f>
        <v>8</v>
      </c>
      <c r="Q6" s="1">
        <f>P6/14</f>
        <v>0.5714285714285714</v>
      </c>
      <c r="R6" s="4" t="s">
        <v>26</v>
      </c>
      <c r="S6" t="s">
        <v>471</v>
      </c>
      <c r="T6" s="22" t="s">
        <v>34</v>
      </c>
      <c r="U6" s="45" t="s">
        <v>40</v>
      </c>
      <c r="V6" s="22" t="s">
        <v>166</v>
      </c>
      <c r="W6" s="22" t="s">
        <v>472</v>
      </c>
      <c r="X6" s="22" t="s">
        <v>469</v>
      </c>
      <c r="Y6" t="s">
        <v>1046</v>
      </c>
      <c r="AD6" t="s">
        <v>1012</v>
      </c>
      <c r="AG6" t="s">
        <v>925</v>
      </c>
      <c r="AH6" t="s">
        <v>1013</v>
      </c>
      <c r="AM6" t="s">
        <v>881</v>
      </c>
    </row>
    <row r="7" spans="1:40">
      <c r="B7" s="2"/>
      <c r="C7" s="2"/>
      <c r="D7" s="5"/>
      <c r="E7" s="2"/>
      <c r="F7" s="5"/>
      <c r="G7" s="2"/>
      <c r="H7" s="5"/>
      <c r="I7" s="2"/>
      <c r="J7" s="5"/>
      <c r="K7" s="2"/>
      <c r="L7" s="5"/>
      <c r="M7" s="5"/>
      <c r="N7" s="2"/>
      <c r="O7" s="2"/>
      <c r="P7" s="2"/>
      <c r="Q7" s="1"/>
      <c r="R7" s="4"/>
      <c r="T7" s="22" t="s">
        <v>34</v>
      </c>
      <c r="U7" s="45" t="s">
        <v>40</v>
      </c>
      <c r="V7" s="22" t="s">
        <v>166</v>
      </c>
      <c r="W7" s="22" t="s">
        <v>473</v>
      </c>
      <c r="X7" s="22" t="s">
        <v>469</v>
      </c>
    </row>
    <row r="8" spans="1:40">
      <c r="A8" t="s">
        <v>474</v>
      </c>
      <c r="B8" s="2" t="s">
        <v>25</v>
      </c>
      <c r="C8" s="5" t="s">
        <v>33</v>
      </c>
      <c r="D8" s="5" t="s">
        <v>33</v>
      </c>
      <c r="E8" s="2" t="s">
        <v>25</v>
      </c>
      <c r="F8" s="5" t="s">
        <v>33</v>
      </c>
      <c r="G8" s="5" t="s">
        <v>33</v>
      </c>
      <c r="H8" s="5" t="s">
        <v>33</v>
      </c>
      <c r="I8" s="5" t="s">
        <v>33</v>
      </c>
      <c r="J8" s="5" t="s">
        <v>33</v>
      </c>
      <c r="K8" s="2" t="s">
        <v>25</v>
      </c>
      <c r="L8" s="5" t="s">
        <v>33</v>
      </c>
      <c r="M8" s="5" t="s">
        <v>33</v>
      </c>
      <c r="N8" s="2" t="s">
        <v>25</v>
      </c>
      <c r="O8" s="5" t="s">
        <v>25</v>
      </c>
      <c r="P8" s="2">
        <f>COUNTIF(B8:O8,"✔")</f>
        <v>5</v>
      </c>
      <c r="Q8" s="1">
        <f>P8/14</f>
        <v>0.35714285714285715</v>
      </c>
      <c r="R8" s="4" t="s">
        <v>26</v>
      </c>
      <c r="S8" t="s">
        <v>471</v>
      </c>
      <c r="T8" s="22" t="s">
        <v>34</v>
      </c>
      <c r="U8" s="45" t="s">
        <v>312</v>
      </c>
      <c r="V8" s="22" t="s">
        <v>352</v>
      </c>
      <c r="W8" s="22" t="s">
        <v>397</v>
      </c>
      <c r="X8" s="22" t="s">
        <v>192</v>
      </c>
      <c r="Y8" t="s">
        <v>1047</v>
      </c>
      <c r="AD8" t="s">
        <v>899</v>
      </c>
      <c r="AG8" t="s">
        <v>884</v>
      </c>
      <c r="AM8" t="s">
        <v>881</v>
      </c>
    </row>
    <row r="9" spans="1:40">
      <c r="B9" s="2"/>
      <c r="C9" s="5"/>
      <c r="D9" s="5"/>
      <c r="E9" s="2"/>
      <c r="F9" s="5"/>
      <c r="G9" s="5"/>
      <c r="H9" s="5"/>
      <c r="I9" s="5"/>
      <c r="J9" s="5"/>
      <c r="K9" s="2"/>
      <c r="L9" s="5"/>
      <c r="M9" s="5"/>
      <c r="N9" s="2"/>
      <c r="O9" s="2"/>
      <c r="P9" s="2"/>
      <c r="Q9" s="1"/>
      <c r="R9" s="4"/>
      <c r="T9" s="22" t="s">
        <v>34</v>
      </c>
      <c r="U9" s="33" t="s">
        <v>29</v>
      </c>
      <c r="V9" s="34" t="s">
        <v>35</v>
      </c>
      <c r="W9" s="34" t="s">
        <v>142</v>
      </c>
      <c r="X9" s="34" t="s">
        <v>143</v>
      </c>
    </row>
    <row r="10" spans="1:40">
      <c r="A10" t="s">
        <v>475</v>
      </c>
      <c r="B10" s="2" t="s">
        <v>25</v>
      </c>
      <c r="C10" s="5" t="s">
        <v>33</v>
      </c>
      <c r="D10" s="5" t="s">
        <v>33</v>
      </c>
      <c r="E10" s="2" t="s">
        <v>25</v>
      </c>
      <c r="F10" s="5" t="s">
        <v>33</v>
      </c>
      <c r="G10" s="5" t="s">
        <v>33</v>
      </c>
      <c r="H10" s="5" t="s">
        <v>33</v>
      </c>
      <c r="I10" s="5" t="s">
        <v>33</v>
      </c>
      <c r="J10" s="5" t="s">
        <v>33</v>
      </c>
      <c r="K10" s="5" t="s">
        <v>33</v>
      </c>
      <c r="L10" s="5" t="s">
        <v>33</v>
      </c>
      <c r="M10" s="5" t="s">
        <v>33</v>
      </c>
      <c r="N10" s="5" t="s">
        <v>33</v>
      </c>
      <c r="O10" s="64" t="s">
        <v>33</v>
      </c>
      <c r="P10" s="2">
        <f>COUNTIF(B10:O10,"✔")</f>
        <v>2</v>
      </c>
      <c r="Q10" s="1">
        <f>P10/14</f>
        <v>0.14285714285714285</v>
      </c>
      <c r="R10" s="4" t="s">
        <v>26</v>
      </c>
      <c r="S10" t="s">
        <v>471</v>
      </c>
      <c r="T10" s="47" t="s">
        <v>34</v>
      </c>
      <c r="U10" s="42" t="s">
        <v>29</v>
      </c>
      <c r="V10" s="47" t="s">
        <v>476</v>
      </c>
      <c r="W10" s="22" t="s">
        <v>477</v>
      </c>
      <c r="X10" s="22" t="s">
        <v>478</v>
      </c>
      <c r="Y10" t="s">
        <v>1048</v>
      </c>
      <c r="AD10" t="s">
        <v>1012</v>
      </c>
      <c r="AG10" t="s">
        <v>884</v>
      </c>
      <c r="AH10" t="s">
        <v>1013</v>
      </c>
      <c r="AM10" t="s">
        <v>881</v>
      </c>
    </row>
    <row r="11" spans="1:40">
      <c r="A11" t="s">
        <v>479</v>
      </c>
      <c r="B11" s="2" t="s">
        <v>25</v>
      </c>
      <c r="C11" s="5" t="s">
        <v>33</v>
      </c>
      <c r="D11" s="5" t="s">
        <v>33</v>
      </c>
      <c r="E11" s="5" t="s">
        <v>33</v>
      </c>
      <c r="F11" s="5" t="s">
        <v>33</v>
      </c>
      <c r="G11" s="5" t="s">
        <v>33</v>
      </c>
      <c r="H11" s="5" t="s">
        <v>33</v>
      </c>
      <c r="I11" s="5" t="s">
        <v>33</v>
      </c>
      <c r="J11" s="2" t="s">
        <v>25</v>
      </c>
      <c r="K11" s="5" t="s">
        <v>33</v>
      </c>
      <c r="L11" s="5" t="s">
        <v>33</v>
      </c>
      <c r="M11" s="5" t="s">
        <v>33</v>
      </c>
      <c r="N11" s="5" t="s">
        <v>33</v>
      </c>
      <c r="O11" s="64" t="s">
        <v>25</v>
      </c>
      <c r="P11" s="2">
        <f>COUNTIF(B11:O11,"✔")</f>
        <v>3</v>
      </c>
      <c r="Q11" s="1">
        <f>P11/14</f>
        <v>0.21428571428571427</v>
      </c>
      <c r="R11" s="4" t="s">
        <v>26</v>
      </c>
      <c r="S11" t="s">
        <v>471</v>
      </c>
      <c r="T11" s="47" t="s">
        <v>34</v>
      </c>
      <c r="U11" s="45" t="s">
        <v>40</v>
      </c>
      <c r="V11" s="22" t="s">
        <v>166</v>
      </c>
      <c r="W11" s="22" t="s">
        <v>472</v>
      </c>
      <c r="X11" s="22" t="s">
        <v>469</v>
      </c>
      <c r="Y11" t="s">
        <v>1049</v>
      </c>
      <c r="AD11" t="s">
        <v>1012</v>
      </c>
      <c r="AG11" t="s">
        <v>925</v>
      </c>
      <c r="AH11" t="s">
        <v>1013</v>
      </c>
      <c r="AM11" t="s">
        <v>881</v>
      </c>
    </row>
    <row r="12" spans="1:40">
      <c r="B12" s="2"/>
      <c r="C12" s="5"/>
      <c r="D12" s="5"/>
      <c r="E12" s="5"/>
      <c r="F12" s="5"/>
      <c r="G12" s="5"/>
      <c r="H12" s="5"/>
      <c r="I12" s="5"/>
      <c r="J12" s="2"/>
      <c r="K12" s="5"/>
      <c r="L12" s="5"/>
      <c r="M12" s="5"/>
      <c r="N12" s="5"/>
      <c r="O12" s="5"/>
      <c r="P12" s="2"/>
      <c r="Q12" s="1"/>
      <c r="R12" s="4"/>
      <c r="T12" s="47" t="s">
        <v>34</v>
      </c>
      <c r="U12" s="45" t="s">
        <v>40</v>
      </c>
      <c r="V12" s="22" t="s">
        <v>166</v>
      </c>
      <c r="W12" s="22" t="s">
        <v>473</v>
      </c>
      <c r="X12" s="22" t="s">
        <v>469</v>
      </c>
    </row>
    <row r="13" spans="1:40">
      <c r="B13" s="2"/>
      <c r="C13" s="5"/>
      <c r="D13" s="5"/>
      <c r="E13" s="5"/>
      <c r="F13" s="5"/>
      <c r="G13" s="5"/>
      <c r="H13" s="5"/>
      <c r="I13" s="5"/>
      <c r="J13" s="2"/>
      <c r="K13" s="5"/>
      <c r="L13" s="5"/>
      <c r="M13" s="5"/>
      <c r="N13" s="5"/>
      <c r="O13" s="5"/>
      <c r="P13" s="2"/>
      <c r="Q13" s="1"/>
      <c r="R13" s="4"/>
      <c r="T13" s="47" t="s">
        <v>34</v>
      </c>
      <c r="U13" s="45" t="s">
        <v>40</v>
      </c>
      <c r="V13" s="22" t="s">
        <v>166</v>
      </c>
      <c r="W13" t="s">
        <v>480</v>
      </c>
      <c r="X13" s="22" t="s">
        <v>469</v>
      </c>
    </row>
    <row r="14" spans="1:40">
      <c r="A14" t="s">
        <v>481</v>
      </c>
      <c r="B14" s="5" t="s">
        <v>33</v>
      </c>
      <c r="C14" s="5" t="s">
        <v>33</v>
      </c>
      <c r="D14" s="5" t="s">
        <v>33</v>
      </c>
      <c r="E14" s="2" t="s">
        <v>25</v>
      </c>
      <c r="F14" s="5" t="s">
        <v>33</v>
      </c>
      <c r="G14" s="5" t="s">
        <v>33</v>
      </c>
      <c r="H14" s="5" t="s">
        <v>33</v>
      </c>
      <c r="I14" s="5" t="s">
        <v>33</v>
      </c>
      <c r="J14" s="5" t="s">
        <v>33</v>
      </c>
      <c r="K14" s="2" t="s">
        <v>25</v>
      </c>
      <c r="L14" s="5" t="s">
        <v>33</v>
      </c>
      <c r="M14" s="5" t="s">
        <v>33</v>
      </c>
      <c r="N14" s="2" t="s">
        <v>25</v>
      </c>
      <c r="O14" s="64" t="s">
        <v>25</v>
      </c>
      <c r="P14" s="2">
        <f>COUNTIF(B14:O14,"✔")</f>
        <v>4</v>
      </c>
      <c r="Q14" s="1">
        <f>P14/14</f>
        <v>0.2857142857142857</v>
      </c>
      <c r="R14" s="4" t="s">
        <v>26</v>
      </c>
      <c r="S14" t="s">
        <v>471</v>
      </c>
      <c r="T14" s="47" t="s">
        <v>34</v>
      </c>
      <c r="U14" s="42" t="s">
        <v>40</v>
      </c>
      <c r="V14" s="47" t="s">
        <v>166</v>
      </c>
      <c r="W14" s="22" t="s">
        <v>480</v>
      </c>
      <c r="X14" s="22" t="s">
        <v>469</v>
      </c>
      <c r="Y14" t="s">
        <v>1050</v>
      </c>
      <c r="AD14" t="s">
        <v>1012</v>
      </c>
      <c r="AG14" t="s">
        <v>925</v>
      </c>
      <c r="AH14" t="s">
        <v>1013</v>
      </c>
      <c r="AM14" t="s">
        <v>881</v>
      </c>
    </row>
    <row r="15" spans="1:40">
      <c r="B15" s="5"/>
      <c r="C15" s="5"/>
      <c r="D15" s="5"/>
      <c r="E15" s="2"/>
      <c r="F15" s="5"/>
      <c r="G15" s="5"/>
      <c r="H15" s="5"/>
      <c r="I15" s="5"/>
      <c r="J15" s="5"/>
      <c r="K15" s="5"/>
      <c r="L15" s="5"/>
      <c r="M15" s="5"/>
      <c r="N15" s="2"/>
      <c r="O15" s="2"/>
      <c r="P15" s="2"/>
      <c r="Q15" s="1"/>
      <c r="R15" s="4"/>
      <c r="T15" s="47" t="s">
        <v>34</v>
      </c>
      <c r="U15" s="42" t="s">
        <v>40</v>
      </c>
      <c r="V15" s="47" t="s">
        <v>166</v>
      </c>
      <c r="W15" s="22" t="s">
        <v>482</v>
      </c>
      <c r="X15" s="22" t="s">
        <v>152</v>
      </c>
    </row>
    <row r="16" spans="1:40">
      <c r="A16" t="s">
        <v>483</v>
      </c>
      <c r="B16" s="5" t="s">
        <v>33</v>
      </c>
      <c r="C16" s="5" t="s">
        <v>33</v>
      </c>
      <c r="D16" s="5" t="s">
        <v>33</v>
      </c>
      <c r="E16" s="2" t="s">
        <v>25</v>
      </c>
      <c r="F16" s="5" t="s">
        <v>33</v>
      </c>
      <c r="G16" s="5" t="s">
        <v>33</v>
      </c>
      <c r="H16" s="5" t="s">
        <v>33</v>
      </c>
      <c r="I16" s="5" t="s">
        <v>33</v>
      </c>
      <c r="J16" s="5" t="s">
        <v>33</v>
      </c>
      <c r="K16" s="2" t="s">
        <v>25</v>
      </c>
      <c r="L16" s="5" t="s">
        <v>33</v>
      </c>
      <c r="M16" s="5" t="s">
        <v>33</v>
      </c>
      <c r="N16" s="2" t="s">
        <v>25</v>
      </c>
      <c r="O16" s="64" t="s">
        <v>25</v>
      </c>
      <c r="P16" s="2">
        <f>COUNTIF(B16:O16,"✔")</f>
        <v>4</v>
      </c>
      <c r="Q16" s="1">
        <f>P16/14</f>
        <v>0.2857142857142857</v>
      </c>
      <c r="R16" s="4" t="s">
        <v>26</v>
      </c>
      <c r="S16" t="s">
        <v>484</v>
      </c>
      <c r="T16" s="5" t="s">
        <v>33</v>
      </c>
      <c r="U16" s="5" t="s">
        <v>33</v>
      </c>
      <c r="Y16" t="s">
        <v>1051</v>
      </c>
      <c r="AM16" t="s">
        <v>931</v>
      </c>
    </row>
    <row r="17" spans="1:39">
      <c r="A17" t="s">
        <v>485</v>
      </c>
      <c r="B17" s="2" t="s">
        <v>25</v>
      </c>
      <c r="C17" s="5" t="s">
        <v>33</v>
      </c>
      <c r="D17" s="5" t="s">
        <v>33</v>
      </c>
      <c r="E17" s="5" t="s">
        <v>33</v>
      </c>
      <c r="F17" s="5" t="s">
        <v>33</v>
      </c>
      <c r="G17" s="5" t="s">
        <v>33</v>
      </c>
      <c r="H17" s="5" t="s">
        <v>33</v>
      </c>
      <c r="I17" s="5" t="s">
        <v>33</v>
      </c>
      <c r="J17" s="5" t="s">
        <v>33</v>
      </c>
      <c r="K17" s="2" t="s">
        <v>25</v>
      </c>
      <c r="L17" s="5" t="s">
        <v>33</v>
      </c>
      <c r="M17" s="5" t="s">
        <v>33</v>
      </c>
      <c r="N17" s="5" t="s">
        <v>33</v>
      </c>
      <c r="O17" s="5" t="s">
        <v>25</v>
      </c>
      <c r="P17" s="2">
        <f>COUNTIF(B17:O17,"✔")</f>
        <v>3</v>
      </c>
      <c r="Q17" s="1">
        <f>P17/14</f>
        <v>0.21428571428571427</v>
      </c>
      <c r="R17" s="4" t="s">
        <v>26</v>
      </c>
      <c r="S17" t="s">
        <v>471</v>
      </c>
      <c r="T17" s="47" t="s">
        <v>34</v>
      </c>
      <c r="U17" s="42" t="s">
        <v>312</v>
      </c>
      <c r="V17" s="47" t="s">
        <v>352</v>
      </c>
      <c r="W17" s="22" t="s">
        <v>397</v>
      </c>
      <c r="X17" s="22" t="s">
        <v>192</v>
      </c>
      <c r="Y17" t="s">
        <v>1052</v>
      </c>
      <c r="AD17" t="s">
        <v>899</v>
      </c>
      <c r="AG17" t="s">
        <v>884</v>
      </c>
      <c r="AM17" t="s">
        <v>881</v>
      </c>
    </row>
    <row r="18" spans="1:39">
      <c r="B18" s="2"/>
      <c r="C18" s="5"/>
      <c r="D18" s="5"/>
      <c r="E18" s="5"/>
      <c r="F18" s="5"/>
      <c r="G18" s="5"/>
      <c r="H18" s="5"/>
      <c r="I18" s="5"/>
      <c r="J18" s="5"/>
      <c r="K18" s="2"/>
      <c r="L18" s="5"/>
      <c r="M18" s="5"/>
      <c r="N18" s="5"/>
      <c r="O18" s="5"/>
      <c r="P18" s="2"/>
      <c r="Q18" s="1"/>
      <c r="R18" s="4"/>
      <c r="T18" s="22" t="s">
        <v>34</v>
      </c>
      <c r="U18" s="33" t="s">
        <v>29</v>
      </c>
      <c r="V18" s="34" t="s">
        <v>35</v>
      </c>
      <c r="W18" s="34" t="s">
        <v>142</v>
      </c>
      <c r="X18" s="34" t="s">
        <v>143</v>
      </c>
    </row>
    <row r="19" spans="1:39">
      <c r="A19" t="s">
        <v>486</v>
      </c>
      <c r="B19" s="2" t="s">
        <v>25</v>
      </c>
      <c r="C19" s="5" t="s">
        <v>33</v>
      </c>
      <c r="D19" s="5" t="s">
        <v>33</v>
      </c>
      <c r="E19" s="5" t="s">
        <v>33</v>
      </c>
      <c r="F19" s="5" t="s">
        <v>33</v>
      </c>
      <c r="G19" s="5" t="s">
        <v>33</v>
      </c>
      <c r="H19" s="5" t="s">
        <v>33</v>
      </c>
      <c r="I19" s="5" t="s">
        <v>33</v>
      </c>
      <c r="J19" s="5" t="s">
        <v>33</v>
      </c>
      <c r="K19" s="2" t="s">
        <v>25</v>
      </c>
      <c r="L19" s="5" t="s">
        <v>33</v>
      </c>
      <c r="M19" s="5" t="s">
        <v>33</v>
      </c>
      <c r="N19" s="5" t="s">
        <v>33</v>
      </c>
      <c r="O19" s="64" t="s">
        <v>33</v>
      </c>
      <c r="P19" s="2">
        <f>COUNTIF(B19:O19,"✔")</f>
        <v>2</v>
      </c>
      <c r="Q19" s="1">
        <f>P19/14</f>
        <v>0.14285714285714285</v>
      </c>
      <c r="R19" s="4" t="s">
        <v>26</v>
      </c>
      <c r="S19" t="s">
        <v>471</v>
      </c>
      <c r="T19" s="47" t="s">
        <v>34</v>
      </c>
      <c r="U19" s="42" t="s">
        <v>312</v>
      </c>
      <c r="V19" s="47" t="s">
        <v>352</v>
      </c>
      <c r="W19" s="22" t="s">
        <v>397</v>
      </c>
      <c r="X19" s="22" t="s">
        <v>192</v>
      </c>
      <c r="Y19" t="s">
        <v>1053</v>
      </c>
      <c r="AD19" t="s">
        <v>899</v>
      </c>
      <c r="AG19" t="s">
        <v>884</v>
      </c>
      <c r="AM19" t="s">
        <v>881</v>
      </c>
    </row>
    <row r="20" spans="1:39">
      <c r="B20" s="2"/>
      <c r="C20" s="5"/>
      <c r="D20" s="5"/>
      <c r="E20" s="5"/>
      <c r="F20" s="5"/>
      <c r="G20" s="5"/>
      <c r="H20" s="5"/>
      <c r="I20" s="5"/>
      <c r="J20" s="5"/>
      <c r="K20" s="2"/>
      <c r="L20" s="5"/>
      <c r="M20" s="5"/>
      <c r="N20" s="5"/>
      <c r="O20" s="5"/>
      <c r="P20" s="2"/>
      <c r="Q20" s="1"/>
      <c r="R20" s="4"/>
      <c r="T20" s="47" t="s">
        <v>34</v>
      </c>
      <c r="U20" s="33" t="s">
        <v>29</v>
      </c>
      <c r="V20" s="34" t="s">
        <v>35</v>
      </c>
      <c r="W20" s="34" t="s">
        <v>142</v>
      </c>
      <c r="X20" s="34" t="s">
        <v>143</v>
      </c>
    </row>
    <row r="21" spans="1:39">
      <c r="A21" t="s">
        <v>487</v>
      </c>
      <c r="B21" s="2" t="s">
        <v>25</v>
      </c>
      <c r="C21" s="5" t="s">
        <v>33</v>
      </c>
      <c r="D21" s="5" t="s">
        <v>33</v>
      </c>
      <c r="E21" s="5" t="s">
        <v>33</v>
      </c>
      <c r="F21" s="5" t="s">
        <v>33</v>
      </c>
      <c r="G21" s="5" t="s">
        <v>33</v>
      </c>
      <c r="H21" s="5" t="s">
        <v>33</v>
      </c>
      <c r="I21" s="5" t="s">
        <v>33</v>
      </c>
      <c r="J21" s="5" t="s">
        <v>33</v>
      </c>
      <c r="K21" s="2" t="s">
        <v>25</v>
      </c>
      <c r="L21" s="5" t="s">
        <v>33</v>
      </c>
      <c r="M21" s="5" t="s">
        <v>33</v>
      </c>
      <c r="N21" s="5" t="s">
        <v>33</v>
      </c>
      <c r="O21" s="5" t="s">
        <v>25</v>
      </c>
      <c r="P21" s="2">
        <f>COUNTIF(B21:O21,"✔")</f>
        <v>3</v>
      </c>
      <c r="Q21" s="1">
        <f>P21/14</f>
        <v>0.21428571428571427</v>
      </c>
      <c r="R21" s="4" t="s">
        <v>26</v>
      </c>
      <c r="S21" t="s">
        <v>471</v>
      </c>
      <c r="T21" s="47" t="s">
        <v>34</v>
      </c>
      <c r="U21" s="42" t="s">
        <v>312</v>
      </c>
      <c r="V21" s="47" t="s">
        <v>352</v>
      </c>
      <c r="W21" s="22" t="s">
        <v>397</v>
      </c>
      <c r="X21" s="22" t="s">
        <v>192</v>
      </c>
      <c r="Y21" t="s">
        <v>1054</v>
      </c>
      <c r="AD21" t="s">
        <v>899</v>
      </c>
      <c r="AG21" t="s">
        <v>884</v>
      </c>
      <c r="AM21" t="s">
        <v>881</v>
      </c>
    </row>
    <row r="22" spans="1:39">
      <c r="B22" s="2"/>
      <c r="C22" s="5"/>
      <c r="D22" s="5"/>
      <c r="E22" s="5"/>
      <c r="F22" s="5"/>
      <c r="G22" s="5"/>
      <c r="H22" s="5"/>
      <c r="I22" s="5"/>
      <c r="J22" s="5"/>
      <c r="K22" s="2"/>
      <c r="L22" s="5"/>
      <c r="M22" s="5"/>
      <c r="N22" s="5"/>
      <c r="O22" s="5"/>
      <c r="P22" s="2"/>
      <c r="Q22" s="1"/>
      <c r="R22" s="4"/>
      <c r="T22" s="47" t="s">
        <v>34</v>
      </c>
      <c r="U22" s="33" t="s">
        <v>29</v>
      </c>
      <c r="V22" s="34" t="s">
        <v>35</v>
      </c>
      <c r="W22" s="34" t="s">
        <v>142</v>
      </c>
      <c r="X22" s="34" t="s">
        <v>143</v>
      </c>
    </row>
    <row r="23" spans="1:39">
      <c r="A23" t="s">
        <v>488</v>
      </c>
      <c r="B23" s="5" t="s">
        <v>33</v>
      </c>
      <c r="C23" s="5" t="s">
        <v>33</v>
      </c>
      <c r="D23" s="5" t="s">
        <v>33</v>
      </c>
      <c r="E23" s="2" t="s">
        <v>25</v>
      </c>
      <c r="F23" s="5" t="s">
        <v>33</v>
      </c>
      <c r="G23" s="5" t="s">
        <v>33</v>
      </c>
      <c r="H23" s="5" t="s">
        <v>33</v>
      </c>
      <c r="I23" s="5" t="s">
        <v>33</v>
      </c>
      <c r="J23" s="5" t="s">
        <v>33</v>
      </c>
      <c r="K23" s="5" t="s">
        <v>33</v>
      </c>
      <c r="L23" s="5" t="s">
        <v>33</v>
      </c>
      <c r="M23" s="5" t="s">
        <v>33</v>
      </c>
      <c r="N23" s="5" t="s">
        <v>33</v>
      </c>
      <c r="O23" s="64" t="s">
        <v>33</v>
      </c>
      <c r="P23" s="2">
        <f>COUNTIF(B23:O23,"✔")</f>
        <v>1</v>
      </c>
      <c r="Q23" s="1">
        <f>P23/14</f>
        <v>7.1428571428571425E-2</v>
      </c>
      <c r="R23" s="4" t="s">
        <v>65</v>
      </c>
      <c r="S23" t="s">
        <v>489</v>
      </c>
      <c r="T23" s="5" t="s">
        <v>33</v>
      </c>
      <c r="U23" s="5" t="s">
        <v>33</v>
      </c>
      <c r="Y23" t="s">
        <v>1055</v>
      </c>
      <c r="AA23" t="s">
        <v>895</v>
      </c>
      <c r="AM23" t="s">
        <v>895</v>
      </c>
    </row>
    <row r="24" spans="1:39">
      <c r="A24" t="s">
        <v>490</v>
      </c>
      <c r="B24" s="5" t="s">
        <v>33</v>
      </c>
      <c r="C24" s="5" t="s">
        <v>33</v>
      </c>
      <c r="D24" s="5" t="s">
        <v>33</v>
      </c>
      <c r="E24" s="5" t="s">
        <v>33</v>
      </c>
      <c r="F24" s="5" t="s">
        <v>33</v>
      </c>
      <c r="G24" s="5" t="s">
        <v>33</v>
      </c>
      <c r="H24" s="5" t="s">
        <v>33</v>
      </c>
      <c r="I24" s="5" t="s">
        <v>33</v>
      </c>
      <c r="J24" s="5" t="s">
        <v>33</v>
      </c>
      <c r="K24" s="2" t="s">
        <v>25</v>
      </c>
      <c r="L24" s="2" t="s">
        <v>25</v>
      </c>
      <c r="M24" s="5" t="s">
        <v>33</v>
      </c>
      <c r="N24" s="5" t="s">
        <v>33</v>
      </c>
      <c r="O24" s="64" t="s">
        <v>25</v>
      </c>
      <c r="P24" s="2">
        <f>COUNTIF(B24:O24,"✔")</f>
        <v>3</v>
      </c>
      <c r="Q24" s="1">
        <f>P24/14</f>
        <v>0.21428571428571427</v>
      </c>
      <c r="R24" s="4" t="s">
        <v>26</v>
      </c>
      <c r="S24" t="s">
        <v>491</v>
      </c>
      <c r="T24" s="47" t="s">
        <v>34</v>
      </c>
      <c r="U24" s="42" t="s">
        <v>29</v>
      </c>
      <c r="V24" s="47" t="s">
        <v>335</v>
      </c>
      <c r="W24" s="22" t="s">
        <v>85</v>
      </c>
      <c r="X24" s="22" t="s">
        <v>336</v>
      </c>
      <c r="Y24" t="s">
        <v>1056</v>
      </c>
      <c r="AD24" t="s">
        <v>883</v>
      </c>
      <c r="AG24" t="s">
        <v>910</v>
      </c>
      <c r="AM24" t="s">
        <v>881</v>
      </c>
    </row>
  </sheetData>
  <dataValidations count="7">
    <dataValidation type="list" allowBlank="1" showInputMessage="1" sqref="AA2:AA24" xr:uid="{D6883A18-6FBF-4B26-B45B-FA8BC19A7F73}">
      <mc:AlternateContent xmlns:x12ac="http://schemas.microsoft.com/office/spreadsheetml/2011/1/ac" xmlns:mc="http://schemas.openxmlformats.org/markup-compatibility/2006">
        <mc:Choice Requires="x12ac">
          <x12ac:list>"Mandatory,Optional,Out of scope,N/A"</x12ac:list>
        </mc:Choice>
        <mc:Fallback>
          <formula1>"Mandatory,Optional,Out of scope,N/A"</formula1>
        </mc:Fallback>
      </mc:AlternateContent>
    </dataValidation>
    <dataValidation type="list" allowBlank="1" showInputMessage="1" sqref="AD2:AD24" xr:uid="{0F99706D-78E9-44BF-9200-9BFAFDE817DF}">
      <mc:AlternateContent xmlns:x12ac="http://schemas.microsoft.com/office/spreadsheetml/2011/1/ac" xmlns:mc="http://schemas.openxmlformats.org/markup-compatibility/2006">
        <mc:Choice Requires="x12ac">
          <x12ac:list>"numeric,categorical,boolean,date,text,document,geometry,time series,reference,composite"</x12ac:list>
        </mc:Choice>
        <mc:Fallback>
          <formula1>"numeric,categorical,boolean,date,text,document,geometry,time series,reference,composite"</formula1>
        </mc:Fallback>
      </mc:AlternateContent>
    </dataValidation>
    <dataValidation type="list" allowBlank="1" showInputMessage="1" sqref="AG2:AG24" xr:uid="{31D53375-5D35-4752-A736-4C409FB03AB4}">
      <mc:AlternateContent xmlns:x12ac="http://schemas.microsoft.com/office/spreadsheetml/2011/1/ac" xmlns:mc="http://schemas.openxmlformats.org/markup-compatibility/2006">
        <mc:Choice Requires="x12ac">
          <x12ac:list>"building,unit,zone,component,site / context,any level"</x12ac:list>
        </mc:Choice>
        <mc:Fallback>
          <formula1>"building,unit,zone,component,site / context,any level"</formula1>
        </mc:Fallback>
      </mc:AlternateContent>
    </dataValidation>
    <dataValidation type="list" allowBlank="1" showInputMessage="1" sqref="AH2:AH24" xr:uid="{C35AB613-E5E5-4292-A83F-1A2A40748445}">
      <mc:AlternateContent xmlns:x12ac="http://schemas.microsoft.com/office/spreadsheetml/2011/1/ac" xmlns:mc="http://schemas.openxmlformats.org/markup-compatibility/2006">
        <mc:Choice Requires="x12ac">
          <x12ac:list>"static,historical,periodic,real-time"</x12ac:list>
        </mc:Choice>
        <mc:Fallback>
          <formula1>"static,historical,periodic,real-time"</formula1>
        </mc:Fallback>
      </mc:AlternateContent>
    </dataValidation>
    <dataValidation type="list" allowBlank="1" showInputMessage="1" sqref="AI2:AI24" xr:uid="{F53C9288-F6AE-4637-A655-1CFE68CA14F0}">
      <mc:AlternateContent xmlns:x12ac="http://schemas.microsoft.com/office/spreadsheetml/2011/1/ac" xmlns:mc="http://schemas.openxmlformats.org/markup-compatibility/2006">
        <mc:Choice Requires="x12ac">
          <x12ac:list>"Public,Restricted,Personal data (GDPR),Commercially sensitive"</x12ac:list>
        </mc:Choice>
        <mc:Fallback>
          <formula1>"Public,Restricted,Personal data (GDPR),Commercially sensitive"</formula1>
        </mc:Fallback>
      </mc:AlternateContent>
    </dataValidation>
    <dataValidation type="list" allowBlank="1" showInputMessage="1" sqref="AL2:AL24" xr:uid="{48EFEA3B-286C-4DBC-AF73-23BA96B1F1C9}">
      <mc:AlternateContent xmlns:x12ac="http://schemas.microsoft.com/office/spreadsheetml/2011/1/ac" xmlns:mc="http://schemas.openxmlformats.org/markup-compatibility/2006">
        <mc:Choice Requires="x12ac">
          <x12ac:list>"open data,API,manual input,inspection,derived"</x12ac:list>
        </mc:Choice>
        <mc:Fallback>
          <formula1>"open data,API,manual input,inspection,derived"</formula1>
        </mc:Fallback>
      </mc:AlternateContent>
    </dataValidation>
    <dataValidation type="list" allowBlank="1" showInputMessage="1" sqref="AM2:AM24" xr:uid="{752DEE2B-1F80-49C4-BA46-56FBD5198C59}">
      <mc:AlternateContent xmlns:x12ac="http://schemas.microsoft.com/office/spreadsheetml/2011/1/ac" xmlns:mc="http://schemas.openxmlformats.org/markup-compatibility/2006">
        <mc:Choice Requires="x12ac">
          <x12ac:list>"Native,Workaround,Extension needed,Out of scope,N/A"</x12ac:list>
        </mc:Choice>
        <mc:Fallback>
          <formula1>"Native,Workaround,Extension needed,Out of scope,N/A"</formula1>
        </mc:Fallback>
      </mc:AlternateContent>
    </dataValidation>
  </dataValidation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41"/>
  <sheetViews>
    <sheetView zoomScaleNormal="100" workbookViewId="0">
      <pane xSplit="1" topLeftCell="N1" activePane="topRight" state="frozen"/>
      <selection pane="topRight" activeCell="R44" sqref="R44"/>
    </sheetView>
  </sheetViews>
  <sheetFormatPr defaultRowHeight="15" customHeight="1"/>
  <cols>
    <col min="1" max="1" width="50.7109375" customWidth="1"/>
    <col min="2" max="18" width="13.7109375" customWidth="1"/>
    <col min="19" max="19" width="20.7109375" style="19" customWidth="1"/>
    <col min="20" max="22" width="20.7109375" customWidth="1"/>
    <col min="25" max="40" width="16.7109375" customWidth="1"/>
  </cols>
  <sheetData>
    <row r="1" spans="1:40" ht="75" customHeight="1">
      <c r="A1" s="76" t="s">
        <v>492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67" t="s">
        <v>17</v>
      </c>
      <c r="S1" s="67" t="s">
        <v>18</v>
      </c>
      <c r="T1" s="78" t="s">
        <v>19</v>
      </c>
      <c r="U1" s="78" t="s">
        <v>20</v>
      </c>
      <c r="V1" s="77" t="s">
        <v>21</v>
      </c>
      <c r="W1" s="77" t="s">
        <v>22</v>
      </c>
      <c r="X1" s="77" t="s">
        <v>23</v>
      </c>
      <c r="Y1" s="77" t="s">
        <v>862</v>
      </c>
      <c r="Z1" s="77" t="s">
        <v>863</v>
      </c>
      <c r="AA1" s="77" t="s">
        <v>864</v>
      </c>
      <c r="AB1" s="77" t="s">
        <v>865</v>
      </c>
      <c r="AC1" s="77" t="s">
        <v>866</v>
      </c>
      <c r="AD1" s="77" t="s">
        <v>867</v>
      </c>
      <c r="AE1" s="77" t="s">
        <v>868</v>
      </c>
      <c r="AF1" s="77" t="s">
        <v>869</v>
      </c>
      <c r="AG1" s="77" t="s">
        <v>870</v>
      </c>
      <c r="AH1" s="77" t="s">
        <v>871</v>
      </c>
      <c r="AI1" s="77" t="s">
        <v>872</v>
      </c>
      <c r="AJ1" s="77" t="s">
        <v>873</v>
      </c>
      <c r="AK1" s="77" t="s">
        <v>874</v>
      </c>
      <c r="AL1" s="77" t="s">
        <v>875</v>
      </c>
      <c r="AM1" s="77" t="s">
        <v>876</v>
      </c>
      <c r="AN1" s="77" t="s">
        <v>877</v>
      </c>
    </row>
    <row r="2" spans="1:40" ht="14.45" customHeight="1">
      <c r="A2" s="57" t="s">
        <v>493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65"/>
      <c r="S2" s="66"/>
      <c r="T2" s="79"/>
      <c r="U2" s="80"/>
      <c r="V2" s="79"/>
      <c r="W2" s="79"/>
      <c r="X2" s="79"/>
    </row>
    <row r="3" spans="1:40" ht="14.45" customHeight="1">
      <c r="A3" s="81" t="s">
        <v>494</v>
      </c>
      <c r="B3" s="82" t="s">
        <v>25</v>
      </c>
      <c r="C3" s="49" t="s">
        <v>33</v>
      </c>
      <c r="D3" s="82" t="s">
        <v>25</v>
      </c>
      <c r="E3" s="82" t="s">
        <v>25</v>
      </c>
      <c r="F3" s="49" t="s">
        <v>33</v>
      </c>
      <c r="G3" s="82" t="s">
        <v>25</v>
      </c>
      <c r="H3" s="82" t="s">
        <v>25</v>
      </c>
      <c r="I3" s="82" t="s">
        <v>25</v>
      </c>
      <c r="J3" s="49" t="s">
        <v>33</v>
      </c>
      <c r="K3" s="49" t="s">
        <v>33</v>
      </c>
      <c r="L3" s="49" t="s">
        <v>33</v>
      </c>
      <c r="M3" s="82" t="s">
        <v>25</v>
      </c>
      <c r="N3" s="49" t="s">
        <v>33</v>
      </c>
      <c r="O3" s="5" t="s">
        <v>33</v>
      </c>
      <c r="P3" s="82">
        <f t="shared" ref="P3:P8" si="0">COUNTIF(B3:O3,"✔")</f>
        <v>7</v>
      </c>
      <c r="Q3" s="83">
        <f t="shared" ref="Q3:Q8" si="1">P3/14</f>
        <v>0.5</v>
      </c>
      <c r="R3" s="4" t="s">
        <v>26</v>
      </c>
      <c r="S3" t="s">
        <v>495</v>
      </c>
      <c r="T3" s="48" t="s">
        <v>34</v>
      </c>
      <c r="U3" s="59" t="s">
        <v>29</v>
      </c>
      <c r="V3" s="48" t="s">
        <v>60</v>
      </c>
      <c r="W3" s="48" t="s">
        <v>378</v>
      </c>
      <c r="X3" s="48" t="s">
        <v>379</v>
      </c>
      <c r="Y3" t="s">
        <v>1057</v>
      </c>
      <c r="AD3" t="s">
        <v>950</v>
      </c>
      <c r="AG3" t="s">
        <v>884</v>
      </c>
      <c r="AM3" t="s">
        <v>881</v>
      </c>
    </row>
    <row r="4" spans="1:40" ht="14.45" customHeight="1">
      <c r="A4" s="81" t="s">
        <v>496</v>
      </c>
      <c r="B4" s="82" t="s">
        <v>25</v>
      </c>
      <c r="C4" s="49" t="s">
        <v>33</v>
      </c>
      <c r="D4" s="82" t="s">
        <v>25</v>
      </c>
      <c r="E4" s="82" t="s">
        <v>25</v>
      </c>
      <c r="F4" s="49" t="s">
        <v>33</v>
      </c>
      <c r="G4" s="82" t="s">
        <v>25</v>
      </c>
      <c r="H4" s="82" t="s">
        <v>25</v>
      </c>
      <c r="I4" s="82" t="s">
        <v>25</v>
      </c>
      <c r="J4" s="82" t="s">
        <v>25</v>
      </c>
      <c r="K4" s="49" t="s">
        <v>33</v>
      </c>
      <c r="L4" s="49" t="s">
        <v>33</v>
      </c>
      <c r="M4" s="49" t="s">
        <v>33</v>
      </c>
      <c r="N4" s="49" t="s">
        <v>33</v>
      </c>
      <c r="O4" s="5" t="s">
        <v>33</v>
      </c>
      <c r="P4" s="82">
        <f t="shared" si="0"/>
        <v>7</v>
      </c>
      <c r="Q4" s="83">
        <f t="shared" si="1"/>
        <v>0.5</v>
      </c>
      <c r="R4" s="4" t="s">
        <v>26</v>
      </c>
      <c r="S4" t="s">
        <v>495</v>
      </c>
      <c r="T4" s="48" t="s">
        <v>34</v>
      </c>
      <c r="U4" s="59" t="s">
        <v>29</v>
      </c>
      <c r="V4" s="48" t="s">
        <v>60</v>
      </c>
      <c r="W4" s="48" t="s">
        <v>378</v>
      </c>
      <c r="X4" s="48" t="s">
        <v>379</v>
      </c>
      <c r="Y4" t="s">
        <v>1058</v>
      </c>
      <c r="AD4" t="s">
        <v>950</v>
      </c>
      <c r="AG4" t="s">
        <v>884</v>
      </c>
      <c r="AM4" t="s">
        <v>881</v>
      </c>
    </row>
    <row r="5" spans="1:40" ht="14.45" customHeight="1">
      <c r="A5" s="81" t="s">
        <v>497</v>
      </c>
      <c r="B5" s="82" t="s">
        <v>25</v>
      </c>
      <c r="C5" s="49" t="s">
        <v>33</v>
      </c>
      <c r="D5" s="82" t="s">
        <v>25</v>
      </c>
      <c r="E5" s="49" t="s">
        <v>33</v>
      </c>
      <c r="F5" s="49" t="s">
        <v>33</v>
      </c>
      <c r="G5" s="82" t="s">
        <v>25</v>
      </c>
      <c r="H5" s="49" t="s">
        <v>33</v>
      </c>
      <c r="I5" s="82" t="s">
        <v>25</v>
      </c>
      <c r="J5" s="82" t="s">
        <v>25</v>
      </c>
      <c r="K5" s="49" t="s">
        <v>33</v>
      </c>
      <c r="L5" s="49" t="s">
        <v>33</v>
      </c>
      <c r="M5" s="49" t="s">
        <v>33</v>
      </c>
      <c r="N5" s="82" t="s">
        <v>25</v>
      </c>
      <c r="O5" s="5" t="s">
        <v>33</v>
      </c>
      <c r="P5" s="82">
        <f t="shared" si="0"/>
        <v>6</v>
      </c>
      <c r="Q5" s="83">
        <f t="shared" si="1"/>
        <v>0.42857142857142855</v>
      </c>
      <c r="R5" s="4" t="s">
        <v>26</v>
      </c>
      <c r="S5" t="s">
        <v>498</v>
      </c>
      <c r="T5" s="48" t="s">
        <v>34</v>
      </c>
      <c r="U5" s="59" t="s">
        <v>312</v>
      </c>
      <c r="V5" s="48" t="s">
        <v>373</v>
      </c>
      <c r="W5" s="48" t="s">
        <v>499</v>
      </c>
      <c r="X5" s="48" t="s">
        <v>192</v>
      </c>
      <c r="Y5" t="s">
        <v>1059</v>
      </c>
      <c r="AD5" t="s">
        <v>899</v>
      </c>
      <c r="AG5" t="s">
        <v>884</v>
      </c>
      <c r="AM5" t="s">
        <v>881</v>
      </c>
    </row>
    <row r="6" spans="1:40" ht="14.45" customHeight="1">
      <c r="A6" s="81" t="s">
        <v>500</v>
      </c>
      <c r="B6" s="82" t="s">
        <v>25</v>
      </c>
      <c r="C6" s="49" t="s">
        <v>33</v>
      </c>
      <c r="D6" s="49" t="s">
        <v>33</v>
      </c>
      <c r="E6" s="49" t="s">
        <v>33</v>
      </c>
      <c r="F6" s="82" t="s">
        <v>25</v>
      </c>
      <c r="G6" s="82" t="s">
        <v>25</v>
      </c>
      <c r="H6" s="49" t="s">
        <v>33</v>
      </c>
      <c r="I6" s="82" t="s">
        <v>25</v>
      </c>
      <c r="J6" s="82" t="s">
        <v>25</v>
      </c>
      <c r="K6" s="49" t="s">
        <v>33</v>
      </c>
      <c r="L6" s="49" t="s">
        <v>33</v>
      </c>
      <c r="M6" s="49" t="s">
        <v>33</v>
      </c>
      <c r="N6" s="82" t="s">
        <v>25</v>
      </c>
      <c r="O6" s="5" t="s">
        <v>33</v>
      </c>
      <c r="P6" s="82">
        <f t="shared" si="0"/>
        <v>6</v>
      </c>
      <c r="Q6" s="83">
        <f t="shared" si="1"/>
        <v>0.42857142857142855</v>
      </c>
      <c r="R6" s="4" t="s">
        <v>26</v>
      </c>
      <c r="S6" t="s">
        <v>81</v>
      </c>
      <c r="T6" s="48" t="s">
        <v>34</v>
      </c>
      <c r="U6" s="59" t="s">
        <v>312</v>
      </c>
      <c r="V6" s="48" t="s">
        <v>373</v>
      </c>
      <c r="W6" s="48" t="s">
        <v>499</v>
      </c>
      <c r="X6" s="48" t="s">
        <v>192</v>
      </c>
      <c r="Y6" t="s">
        <v>1060</v>
      </c>
      <c r="AD6" t="s">
        <v>899</v>
      </c>
      <c r="AG6" t="s">
        <v>884</v>
      </c>
      <c r="AM6" t="s">
        <v>881</v>
      </c>
    </row>
    <row r="7" spans="1:40" ht="14.45" customHeight="1">
      <c r="A7" s="81" t="s">
        <v>501</v>
      </c>
      <c r="B7" s="82" t="s">
        <v>25</v>
      </c>
      <c r="C7" s="49" t="s">
        <v>33</v>
      </c>
      <c r="D7" s="82" t="s">
        <v>25</v>
      </c>
      <c r="E7" s="49" t="s">
        <v>33</v>
      </c>
      <c r="F7" s="49" t="s">
        <v>33</v>
      </c>
      <c r="G7" s="82" t="s">
        <v>25</v>
      </c>
      <c r="H7" s="82" t="s">
        <v>25</v>
      </c>
      <c r="I7" s="82" t="s">
        <v>25</v>
      </c>
      <c r="J7" s="49" t="s">
        <v>33</v>
      </c>
      <c r="K7" s="49" t="s">
        <v>33</v>
      </c>
      <c r="L7" s="49" t="s">
        <v>33</v>
      </c>
      <c r="M7" s="49" t="s">
        <v>33</v>
      </c>
      <c r="N7" s="49" t="s">
        <v>33</v>
      </c>
      <c r="O7" s="5" t="s">
        <v>33</v>
      </c>
      <c r="P7" s="82">
        <f t="shared" si="0"/>
        <v>5</v>
      </c>
      <c r="Q7" s="83">
        <f t="shared" si="1"/>
        <v>0.35714285714285715</v>
      </c>
      <c r="R7" s="4" t="s">
        <v>26</v>
      </c>
      <c r="S7" t="s">
        <v>502</v>
      </c>
      <c r="T7" s="48" t="s">
        <v>34</v>
      </c>
      <c r="U7" s="59" t="s">
        <v>29</v>
      </c>
      <c r="V7" s="48" t="s">
        <v>60</v>
      </c>
      <c r="W7" s="48" t="s">
        <v>378</v>
      </c>
      <c r="X7" s="48" t="s">
        <v>379</v>
      </c>
      <c r="Y7" t="s">
        <v>1061</v>
      </c>
      <c r="AD7" t="s">
        <v>950</v>
      </c>
      <c r="AG7" t="s">
        <v>884</v>
      </c>
      <c r="AM7" t="s">
        <v>881</v>
      </c>
    </row>
    <row r="8" spans="1:40" ht="14.45" customHeight="1">
      <c r="A8" s="81" t="s">
        <v>503</v>
      </c>
      <c r="B8" s="82" t="s">
        <v>25</v>
      </c>
      <c r="C8" s="49" t="s">
        <v>33</v>
      </c>
      <c r="D8" s="82" t="s">
        <v>25</v>
      </c>
      <c r="E8" s="49" t="s">
        <v>33</v>
      </c>
      <c r="F8" s="49" t="s">
        <v>33</v>
      </c>
      <c r="G8" s="82" t="s">
        <v>25</v>
      </c>
      <c r="H8" s="49" t="s">
        <v>33</v>
      </c>
      <c r="I8" s="82" t="s">
        <v>25</v>
      </c>
      <c r="J8" s="49" t="s">
        <v>33</v>
      </c>
      <c r="K8" s="49" t="s">
        <v>33</v>
      </c>
      <c r="L8" s="49" t="s">
        <v>33</v>
      </c>
      <c r="M8" s="49" t="s">
        <v>33</v>
      </c>
      <c r="N8" s="49" t="s">
        <v>33</v>
      </c>
      <c r="O8" s="5" t="s">
        <v>33</v>
      </c>
      <c r="P8" s="82">
        <f t="shared" si="0"/>
        <v>4</v>
      </c>
      <c r="Q8" s="83">
        <f t="shared" si="1"/>
        <v>0.2857142857142857</v>
      </c>
      <c r="R8" s="4" t="s">
        <v>26</v>
      </c>
      <c r="S8" t="s">
        <v>504</v>
      </c>
      <c r="T8" s="48" t="s">
        <v>34</v>
      </c>
      <c r="U8" s="59" t="s">
        <v>29</v>
      </c>
      <c r="V8" s="48" t="s">
        <v>35</v>
      </c>
      <c r="W8" s="48" t="s">
        <v>142</v>
      </c>
      <c r="X8" s="48" t="s">
        <v>143</v>
      </c>
      <c r="Y8" t="s">
        <v>1062</v>
      </c>
      <c r="AD8" t="s">
        <v>879</v>
      </c>
      <c r="AG8" t="s">
        <v>884</v>
      </c>
      <c r="AM8" t="s">
        <v>916</v>
      </c>
      <c r="AN8" t="s">
        <v>142</v>
      </c>
    </row>
    <row r="9" spans="1:40" s="11" customFormat="1" ht="14.45" customHeight="1">
      <c r="A9" s="11" t="s">
        <v>505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70"/>
      <c r="R9" s="6" t="s">
        <v>26</v>
      </c>
      <c r="S9" s="11" t="s">
        <v>506</v>
      </c>
      <c r="T9" s="71" t="s">
        <v>34</v>
      </c>
      <c r="U9" s="72" t="s">
        <v>312</v>
      </c>
      <c r="V9" s="71" t="s">
        <v>373</v>
      </c>
      <c r="W9" s="71" t="s">
        <v>499</v>
      </c>
      <c r="X9" s="71" t="s">
        <v>192</v>
      </c>
    </row>
    <row r="10" spans="1:40" ht="14.45" customHeight="1">
      <c r="A10" s="81" t="s">
        <v>507</v>
      </c>
      <c r="B10" s="82" t="s">
        <v>25</v>
      </c>
      <c r="C10" s="49" t="s">
        <v>33</v>
      </c>
      <c r="D10" s="49" t="s">
        <v>33</v>
      </c>
      <c r="E10" s="49" t="s">
        <v>33</v>
      </c>
      <c r="F10" s="49" t="s">
        <v>33</v>
      </c>
      <c r="G10" s="49" t="s">
        <v>33</v>
      </c>
      <c r="H10" s="82" t="s">
        <v>25</v>
      </c>
      <c r="I10" s="49" t="s">
        <v>33</v>
      </c>
      <c r="J10" s="49" t="s">
        <v>33</v>
      </c>
      <c r="K10" s="49" t="s">
        <v>33</v>
      </c>
      <c r="L10" s="49" t="s">
        <v>33</v>
      </c>
      <c r="M10" s="49" t="s">
        <v>33</v>
      </c>
      <c r="N10" s="49" t="s">
        <v>33</v>
      </c>
      <c r="O10" s="5" t="s">
        <v>33</v>
      </c>
      <c r="P10" s="82">
        <f>COUNTIF(B10:O10,"✔")</f>
        <v>2</v>
      </c>
      <c r="Q10" s="83">
        <f>P10/14</f>
        <v>0.14285714285714285</v>
      </c>
      <c r="R10" s="4" t="s">
        <v>65</v>
      </c>
      <c r="S10" t="s">
        <v>508</v>
      </c>
      <c r="T10" s="48" t="s">
        <v>34</v>
      </c>
      <c r="U10" s="59" t="s">
        <v>29</v>
      </c>
      <c r="V10" s="48" t="s">
        <v>60</v>
      </c>
      <c r="W10" s="48" t="s">
        <v>378</v>
      </c>
      <c r="X10" s="48" t="s">
        <v>379</v>
      </c>
      <c r="Y10" t="s">
        <v>1063</v>
      </c>
      <c r="AA10" t="s">
        <v>895</v>
      </c>
      <c r="AD10" t="s">
        <v>950</v>
      </c>
      <c r="AG10" t="s">
        <v>884</v>
      </c>
      <c r="AM10" t="s">
        <v>881</v>
      </c>
    </row>
    <row r="11" spans="1:40" ht="14.45" customHeight="1">
      <c r="A11" s="81" t="s">
        <v>509</v>
      </c>
      <c r="B11" s="82" t="s">
        <v>25</v>
      </c>
      <c r="C11" s="49" t="s">
        <v>33</v>
      </c>
      <c r="D11" s="49" t="s">
        <v>33</v>
      </c>
      <c r="E11" s="49" t="s">
        <v>33</v>
      </c>
      <c r="F11" s="49" t="s">
        <v>33</v>
      </c>
      <c r="G11" s="49" t="s">
        <v>33</v>
      </c>
      <c r="H11" s="49" t="s">
        <v>33</v>
      </c>
      <c r="I11" s="49" t="s">
        <v>33</v>
      </c>
      <c r="J11" s="82" t="s">
        <v>25</v>
      </c>
      <c r="K11" s="49" t="s">
        <v>33</v>
      </c>
      <c r="L11" s="49" t="s">
        <v>33</v>
      </c>
      <c r="M11" s="49" t="s">
        <v>33</v>
      </c>
      <c r="N11" s="49" t="s">
        <v>33</v>
      </c>
      <c r="O11" s="5" t="s">
        <v>33</v>
      </c>
      <c r="P11" s="82">
        <f>COUNTIF(B11:O11,"✔")</f>
        <v>2</v>
      </c>
      <c r="Q11" s="83">
        <f>P11/14</f>
        <v>0.14285714285714285</v>
      </c>
      <c r="R11" s="4" t="s">
        <v>26</v>
      </c>
      <c r="S11" t="s">
        <v>506</v>
      </c>
      <c r="T11" s="48" t="s">
        <v>34</v>
      </c>
      <c r="U11" s="59" t="s">
        <v>29</v>
      </c>
      <c r="V11" s="48" t="s">
        <v>35</v>
      </c>
      <c r="W11" s="48" t="s">
        <v>142</v>
      </c>
      <c r="X11" s="48" t="s">
        <v>143</v>
      </c>
      <c r="Y11" t="s">
        <v>1064</v>
      </c>
      <c r="AD11" t="s">
        <v>879</v>
      </c>
      <c r="AG11" t="s">
        <v>884</v>
      </c>
      <c r="AM11" t="s">
        <v>916</v>
      </c>
      <c r="AN11" t="s">
        <v>142</v>
      </c>
    </row>
    <row r="12" spans="1:40" ht="14.45" customHeight="1">
      <c r="A12" s="57" t="s">
        <v>510</v>
      </c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5"/>
      <c r="R12" s="65"/>
      <c r="S12" s="66"/>
      <c r="T12" s="79"/>
      <c r="U12" s="80"/>
      <c r="V12" s="79"/>
      <c r="W12" s="79"/>
      <c r="X12" s="79"/>
    </row>
    <row r="13" spans="1:40" ht="14.45" customHeight="1">
      <c r="A13" s="81" t="s">
        <v>511</v>
      </c>
      <c r="B13" s="82" t="s">
        <v>25</v>
      </c>
      <c r="C13" s="49" t="s">
        <v>33</v>
      </c>
      <c r="D13" s="82" t="s">
        <v>25</v>
      </c>
      <c r="E13" s="49" t="s">
        <v>33</v>
      </c>
      <c r="F13" s="49" t="s">
        <v>33</v>
      </c>
      <c r="G13" s="82" t="s">
        <v>25</v>
      </c>
      <c r="H13" s="82" t="s">
        <v>25</v>
      </c>
      <c r="I13" s="82" t="s">
        <v>25</v>
      </c>
      <c r="J13" s="49" t="s">
        <v>33</v>
      </c>
      <c r="K13" s="49" t="s">
        <v>33</v>
      </c>
      <c r="L13" s="49" t="s">
        <v>33</v>
      </c>
      <c r="M13" s="49" t="s">
        <v>33</v>
      </c>
      <c r="N13" s="49" t="s">
        <v>33</v>
      </c>
      <c r="O13" s="5" t="s">
        <v>33</v>
      </c>
      <c r="P13" s="82">
        <f t="shared" ref="P13:P21" si="2">COUNTIF(B13:O13,"✔")</f>
        <v>5</v>
      </c>
      <c r="Q13" s="83">
        <f t="shared" ref="Q13:Q21" si="3">P13/14</f>
        <v>0.35714285714285715</v>
      </c>
      <c r="R13" s="4" t="s">
        <v>26</v>
      </c>
      <c r="S13" t="s">
        <v>408</v>
      </c>
      <c r="T13" s="48" t="s">
        <v>34</v>
      </c>
      <c r="U13" s="59" t="s">
        <v>29</v>
      </c>
      <c r="V13" s="48" t="s">
        <v>60</v>
      </c>
      <c r="W13" s="48" t="s">
        <v>61</v>
      </c>
      <c r="X13" s="48" t="s">
        <v>62</v>
      </c>
      <c r="Y13" t="s">
        <v>1065</v>
      </c>
      <c r="AD13" t="s">
        <v>893</v>
      </c>
      <c r="AG13" t="s">
        <v>884</v>
      </c>
      <c r="AM13" t="s">
        <v>881</v>
      </c>
    </row>
    <row r="14" spans="1:40" ht="14.45" customHeight="1">
      <c r="A14" s="81" t="s">
        <v>512</v>
      </c>
      <c r="B14" s="82" t="s">
        <v>25</v>
      </c>
      <c r="C14" s="49" t="s">
        <v>33</v>
      </c>
      <c r="D14" s="82" t="s">
        <v>25</v>
      </c>
      <c r="E14" s="49" t="s">
        <v>33</v>
      </c>
      <c r="F14" s="49" t="s">
        <v>33</v>
      </c>
      <c r="G14" s="82" t="s">
        <v>25</v>
      </c>
      <c r="H14" s="49" t="s">
        <v>33</v>
      </c>
      <c r="I14" s="82" t="s">
        <v>25</v>
      </c>
      <c r="J14" s="49" t="s">
        <v>33</v>
      </c>
      <c r="K14" s="49" t="s">
        <v>33</v>
      </c>
      <c r="L14" s="49" t="s">
        <v>33</v>
      </c>
      <c r="M14" s="49" t="s">
        <v>33</v>
      </c>
      <c r="N14" s="49" t="s">
        <v>33</v>
      </c>
      <c r="O14" s="5" t="s">
        <v>33</v>
      </c>
      <c r="P14" s="82">
        <f t="shared" si="2"/>
        <v>4</v>
      </c>
      <c r="Q14" s="83">
        <f t="shared" si="3"/>
        <v>0.2857142857142857</v>
      </c>
      <c r="R14" s="4" t="s">
        <v>26</v>
      </c>
      <c r="S14" t="s">
        <v>513</v>
      </c>
      <c r="T14" s="48" t="s">
        <v>34</v>
      </c>
      <c r="U14" s="59" t="s">
        <v>52</v>
      </c>
      <c r="V14" s="48" t="s">
        <v>53</v>
      </c>
      <c r="W14" s="48" t="s">
        <v>405</v>
      </c>
      <c r="X14" s="48" t="s">
        <v>406</v>
      </c>
      <c r="Y14" t="s">
        <v>1066</v>
      </c>
      <c r="AD14" t="s">
        <v>883</v>
      </c>
      <c r="AG14" t="s">
        <v>884</v>
      </c>
      <c r="AM14" t="s">
        <v>881</v>
      </c>
    </row>
    <row r="15" spans="1:40" ht="14.45" customHeight="1">
      <c r="A15" s="81" t="s">
        <v>514</v>
      </c>
      <c r="B15" s="82" t="s">
        <v>25</v>
      </c>
      <c r="C15" s="49" t="s">
        <v>33</v>
      </c>
      <c r="D15" s="82" t="s">
        <v>25</v>
      </c>
      <c r="E15" s="49" t="s">
        <v>33</v>
      </c>
      <c r="F15" s="49" t="s">
        <v>33</v>
      </c>
      <c r="G15" s="82" t="s">
        <v>25</v>
      </c>
      <c r="H15" s="49" t="s">
        <v>33</v>
      </c>
      <c r="I15" s="82" t="s">
        <v>25</v>
      </c>
      <c r="J15" s="49" t="s">
        <v>33</v>
      </c>
      <c r="K15" s="49" t="s">
        <v>33</v>
      </c>
      <c r="L15" s="49" t="s">
        <v>33</v>
      </c>
      <c r="M15" s="49" t="s">
        <v>33</v>
      </c>
      <c r="N15" s="49" t="s">
        <v>33</v>
      </c>
      <c r="O15" s="5" t="s">
        <v>33</v>
      </c>
      <c r="P15" s="82">
        <f t="shared" si="2"/>
        <v>4</v>
      </c>
      <c r="Q15" s="83">
        <f t="shared" si="3"/>
        <v>0.2857142857142857</v>
      </c>
      <c r="R15" s="4" t="s">
        <v>26</v>
      </c>
      <c r="S15" t="s">
        <v>513</v>
      </c>
      <c r="T15" s="48" t="s">
        <v>34</v>
      </c>
      <c r="U15" s="59" t="s">
        <v>52</v>
      </c>
      <c r="V15" s="48" t="s">
        <v>53</v>
      </c>
      <c r="W15" s="48" t="s">
        <v>515</v>
      </c>
      <c r="X15" s="48" t="s">
        <v>43</v>
      </c>
      <c r="Y15" t="s">
        <v>1067</v>
      </c>
      <c r="AD15" t="s">
        <v>886</v>
      </c>
      <c r="AG15" t="s">
        <v>884</v>
      </c>
      <c r="AM15" t="s">
        <v>881</v>
      </c>
    </row>
    <row r="16" spans="1:40" ht="14.45" customHeight="1">
      <c r="A16" s="81" t="s">
        <v>516</v>
      </c>
      <c r="B16" s="49" t="s">
        <v>33</v>
      </c>
      <c r="C16" s="49" t="s">
        <v>33</v>
      </c>
      <c r="D16" s="82" t="s">
        <v>25</v>
      </c>
      <c r="E16" s="49" t="s">
        <v>33</v>
      </c>
      <c r="F16" s="49" t="s">
        <v>33</v>
      </c>
      <c r="G16" s="82" t="s">
        <v>25</v>
      </c>
      <c r="H16" s="49" t="s">
        <v>33</v>
      </c>
      <c r="I16" s="82" t="s">
        <v>25</v>
      </c>
      <c r="J16" s="49" t="s">
        <v>33</v>
      </c>
      <c r="K16" s="49" t="s">
        <v>33</v>
      </c>
      <c r="L16" s="49" t="s">
        <v>33</v>
      </c>
      <c r="M16" s="49" t="s">
        <v>33</v>
      </c>
      <c r="N16" s="49" t="s">
        <v>33</v>
      </c>
      <c r="O16" s="5" t="s">
        <v>33</v>
      </c>
      <c r="P16" s="82">
        <f t="shared" si="2"/>
        <v>3</v>
      </c>
      <c r="Q16" s="83">
        <f t="shared" si="3"/>
        <v>0.21428571428571427</v>
      </c>
      <c r="R16" s="4" t="s">
        <v>26</v>
      </c>
      <c r="S16" t="s">
        <v>403</v>
      </c>
      <c r="T16" s="48" t="s">
        <v>34</v>
      </c>
      <c r="U16" s="59" t="s">
        <v>29</v>
      </c>
      <c r="V16" s="48" t="s">
        <v>60</v>
      </c>
      <c r="W16" s="48" t="s">
        <v>378</v>
      </c>
      <c r="X16" s="48" t="s">
        <v>379</v>
      </c>
      <c r="Y16" t="s">
        <v>1068</v>
      </c>
      <c r="AD16" t="s">
        <v>950</v>
      </c>
      <c r="AG16" t="s">
        <v>884</v>
      </c>
      <c r="AM16" t="s">
        <v>881</v>
      </c>
    </row>
    <row r="17" spans="1:40" ht="14.45" customHeight="1">
      <c r="A17" s="81" t="s">
        <v>517</v>
      </c>
      <c r="B17" s="49" t="s">
        <v>33</v>
      </c>
      <c r="C17" s="49" t="s">
        <v>33</v>
      </c>
      <c r="D17" s="82" t="s">
        <v>25</v>
      </c>
      <c r="E17" s="49" t="s">
        <v>33</v>
      </c>
      <c r="F17" s="49" t="s">
        <v>33</v>
      </c>
      <c r="G17" s="49" t="s">
        <v>33</v>
      </c>
      <c r="H17" s="82" t="s">
        <v>25</v>
      </c>
      <c r="I17" s="49" t="s">
        <v>33</v>
      </c>
      <c r="J17" s="49" t="s">
        <v>33</v>
      </c>
      <c r="K17" s="49" t="s">
        <v>33</v>
      </c>
      <c r="L17" s="49" t="s">
        <v>33</v>
      </c>
      <c r="M17" s="49" t="s">
        <v>33</v>
      </c>
      <c r="N17" s="49" t="s">
        <v>33</v>
      </c>
      <c r="O17" s="5" t="s">
        <v>33</v>
      </c>
      <c r="P17" s="82">
        <f t="shared" si="2"/>
        <v>2</v>
      </c>
      <c r="Q17" s="83">
        <f t="shared" si="3"/>
        <v>0.14285714285714285</v>
      </c>
      <c r="R17" s="4" t="s">
        <v>26</v>
      </c>
      <c r="S17" t="s">
        <v>518</v>
      </c>
      <c r="T17" s="48" t="s">
        <v>34</v>
      </c>
      <c r="U17" s="59" t="s">
        <v>29</v>
      </c>
      <c r="V17" s="48" t="s">
        <v>60</v>
      </c>
      <c r="W17" s="48" t="s">
        <v>61</v>
      </c>
      <c r="X17" s="48" t="s">
        <v>62</v>
      </c>
      <c r="Y17" t="s">
        <v>1069</v>
      </c>
      <c r="AD17" t="s">
        <v>893</v>
      </c>
      <c r="AG17" t="s">
        <v>884</v>
      </c>
      <c r="AM17" t="s">
        <v>881</v>
      </c>
    </row>
    <row r="18" spans="1:40" ht="14.45" customHeight="1">
      <c r="A18" s="81" t="s">
        <v>519</v>
      </c>
      <c r="B18" s="82" t="s">
        <v>25</v>
      </c>
      <c r="C18" s="49" t="s">
        <v>33</v>
      </c>
      <c r="D18" s="49" t="s">
        <v>33</v>
      </c>
      <c r="E18" s="49" t="s">
        <v>33</v>
      </c>
      <c r="F18" s="49" t="s">
        <v>33</v>
      </c>
      <c r="G18" s="49" t="s">
        <v>33</v>
      </c>
      <c r="H18" s="49" t="s">
        <v>33</v>
      </c>
      <c r="I18" s="49" t="s">
        <v>33</v>
      </c>
      <c r="J18" s="49" t="s">
        <v>33</v>
      </c>
      <c r="K18" s="49" t="s">
        <v>33</v>
      </c>
      <c r="L18" s="49" t="s">
        <v>33</v>
      </c>
      <c r="M18" s="49" t="s">
        <v>33</v>
      </c>
      <c r="N18" s="49" t="s">
        <v>33</v>
      </c>
      <c r="O18" s="5" t="s">
        <v>33</v>
      </c>
      <c r="P18" s="82">
        <f t="shared" si="2"/>
        <v>1</v>
      </c>
      <c r="Q18" s="83">
        <f t="shared" si="3"/>
        <v>7.1428571428571425E-2</v>
      </c>
      <c r="R18" s="4" t="s">
        <v>65</v>
      </c>
      <c r="S18" t="s">
        <v>520</v>
      </c>
      <c r="T18" s="59" t="s">
        <v>33</v>
      </c>
      <c r="U18" s="59" t="s">
        <v>33</v>
      </c>
      <c r="V18" s="48"/>
      <c r="W18" s="48"/>
      <c r="X18" s="48"/>
      <c r="Y18" t="s">
        <v>1070</v>
      </c>
      <c r="AA18" t="s">
        <v>895</v>
      </c>
      <c r="AM18" t="s">
        <v>895</v>
      </c>
    </row>
    <row r="19" spans="1:40" ht="14.45" customHeight="1">
      <c r="A19" s="81" t="s">
        <v>521</v>
      </c>
      <c r="B19" s="82" t="s">
        <v>25</v>
      </c>
      <c r="C19" s="49" t="s">
        <v>33</v>
      </c>
      <c r="D19" s="49" t="s">
        <v>33</v>
      </c>
      <c r="E19" s="49" t="s">
        <v>33</v>
      </c>
      <c r="F19" s="49" t="s">
        <v>33</v>
      </c>
      <c r="G19" s="49" t="s">
        <v>33</v>
      </c>
      <c r="H19" s="49" t="s">
        <v>33</v>
      </c>
      <c r="I19" s="49" t="s">
        <v>33</v>
      </c>
      <c r="J19" s="49" t="s">
        <v>33</v>
      </c>
      <c r="K19" s="49" t="s">
        <v>33</v>
      </c>
      <c r="L19" s="49" t="s">
        <v>33</v>
      </c>
      <c r="M19" s="49" t="s">
        <v>33</v>
      </c>
      <c r="N19" s="49" t="s">
        <v>33</v>
      </c>
      <c r="O19" s="5" t="s">
        <v>33</v>
      </c>
      <c r="P19" s="82">
        <f t="shared" si="2"/>
        <v>1</v>
      </c>
      <c r="Q19" s="83">
        <f t="shared" si="3"/>
        <v>7.1428571428571425E-2</v>
      </c>
      <c r="R19" s="4" t="s">
        <v>65</v>
      </c>
      <c r="S19" t="s">
        <v>520</v>
      </c>
      <c r="T19" s="59" t="s">
        <v>33</v>
      </c>
      <c r="U19" s="59" t="s">
        <v>33</v>
      </c>
      <c r="V19" s="48"/>
      <c r="W19" s="48"/>
      <c r="X19" s="48"/>
      <c r="Y19" t="s">
        <v>1071</v>
      </c>
      <c r="AA19" t="s">
        <v>895</v>
      </c>
      <c r="AM19" t="s">
        <v>895</v>
      </c>
    </row>
    <row r="20" spans="1:40" ht="14.45" customHeight="1">
      <c r="A20" s="81" t="s">
        <v>522</v>
      </c>
      <c r="B20" s="82" t="s">
        <v>25</v>
      </c>
      <c r="C20" s="49" t="s">
        <v>33</v>
      </c>
      <c r="D20" s="49" t="s">
        <v>33</v>
      </c>
      <c r="E20" s="49" t="s">
        <v>33</v>
      </c>
      <c r="F20" s="49" t="s">
        <v>33</v>
      </c>
      <c r="G20" s="49" t="s">
        <v>33</v>
      </c>
      <c r="H20" s="49" t="s">
        <v>33</v>
      </c>
      <c r="I20" s="49" t="s">
        <v>33</v>
      </c>
      <c r="J20" s="49" t="s">
        <v>33</v>
      </c>
      <c r="K20" s="49" t="s">
        <v>33</v>
      </c>
      <c r="L20" s="49" t="s">
        <v>33</v>
      </c>
      <c r="M20" s="49" t="s">
        <v>33</v>
      </c>
      <c r="N20" s="49" t="s">
        <v>33</v>
      </c>
      <c r="O20" s="5" t="s">
        <v>33</v>
      </c>
      <c r="P20" s="82">
        <f t="shared" si="2"/>
        <v>1</v>
      </c>
      <c r="Q20" s="83">
        <f t="shared" si="3"/>
        <v>7.1428571428571425E-2</v>
      </c>
      <c r="R20" s="4" t="s">
        <v>65</v>
      </c>
      <c r="S20" t="s">
        <v>508</v>
      </c>
      <c r="T20" s="48" t="s">
        <v>34</v>
      </c>
      <c r="U20" s="59" t="s">
        <v>29</v>
      </c>
      <c r="V20" s="48" t="s">
        <v>60</v>
      </c>
      <c r="W20" s="48" t="s">
        <v>378</v>
      </c>
      <c r="X20" s="48" t="s">
        <v>379</v>
      </c>
      <c r="Y20" t="s">
        <v>1072</v>
      </c>
      <c r="AA20" t="s">
        <v>895</v>
      </c>
      <c r="AD20" t="s">
        <v>950</v>
      </c>
      <c r="AG20" t="s">
        <v>884</v>
      </c>
      <c r="AM20" t="s">
        <v>881</v>
      </c>
    </row>
    <row r="21" spans="1:40" ht="14.45" customHeight="1">
      <c r="A21" s="81" t="s">
        <v>523</v>
      </c>
      <c r="B21" s="49" t="s">
        <v>33</v>
      </c>
      <c r="C21" s="49" t="s">
        <v>33</v>
      </c>
      <c r="D21" s="49" t="s">
        <v>33</v>
      </c>
      <c r="E21" s="49" t="s">
        <v>33</v>
      </c>
      <c r="F21" s="49" t="s">
        <v>33</v>
      </c>
      <c r="G21" s="49" t="s">
        <v>33</v>
      </c>
      <c r="H21" s="49" t="s">
        <v>33</v>
      </c>
      <c r="I21" s="49" t="s">
        <v>33</v>
      </c>
      <c r="J21" s="49" t="s">
        <v>33</v>
      </c>
      <c r="K21" s="49" t="s">
        <v>33</v>
      </c>
      <c r="L21" s="49" t="s">
        <v>33</v>
      </c>
      <c r="M21" s="49" t="s">
        <v>33</v>
      </c>
      <c r="N21" s="82" t="s">
        <v>25</v>
      </c>
      <c r="O21" s="64" t="s">
        <v>25</v>
      </c>
      <c r="P21" s="82">
        <f t="shared" si="2"/>
        <v>2</v>
      </c>
      <c r="Q21" s="83">
        <f t="shared" si="3"/>
        <v>0.14285714285714285</v>
      </c>
      <c r="R21" s="4" t="s">
        <v>26</v>
      </c>
      <c r="S21" t="s">
        <v>524</v>
      </c>
      <c r="T21" s="48" t="s">
        <v>34</v>
      </c>
      <c r="U21" s="59" t="s">
        <v>312</v>
      </c>
      <c r="V21" s="48" t="s">
        <v>373</v>
      </c>
      <c r="W21" s="48" t="s">
        <v>525</v>
      </c>
      <c r="X21" s="48" t="s">
        <v>526</v>
      </c>
      <c r="Y21" t="s">
        <v>1073</v>
      </c>
      <c r="AD21" t="s">
        <v>883</v>
      </c>
      <c r="AG21" t="s">
        <v>884</v>
      </c>
      <c r="AM21" t="s">
        <v>881</v>
      </c>
    </row>
    <row r="22" spans="1:40" ht="14.45" customHeight="1">
      <c r="A22" s="57" t="s">
        <v>527</v>
      </c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5"/>
      <c r="R22" s="65"/>
      <c r="S22" s="66"/>
      <c r="T22" s="79"/>
      <c r="U22" s="80"/>
      <c r="V22" s="79"/>
      <c r="W22" s="79"/>
      <c r="X22" s="79"/>
    </row>
    <row r="23" spans="1:40" ht="14.45" customHeight="1">
      <c r="A23" s="81" t="s">
        <v>528</v>
      </c>
      <c r="B23" s="82" t="s">
        <v>25</v>
      </c>
      <c r="C23" s="49" t="s">
        <v>33</v>
      </c>
      <c r="D23" s="82" t="s">
        <v>25</v>
      </c>
      <c r="E23" s="82" t="s">
        <v>25</v>
      </c>
      <c r="F23" s="82" t="s">
        <v>25</v>
      </c>
      <c r="G23" s="49" t="s">
        <v>33</v>
      </c>
      <c r="H23" s="49" t="s">
        <v>33</v>
      </c>
      <c r="I23" s="49" t="s">
        <v>33</v>
      </c>
      <c r="J23" s="82" t="s">
        <v>25</v>
      </c>
      <c r="K23" s="49" t="s">
        <v>33</v>
      </c>
      <c r="L23" s="49" t="s">
        <v>33</v>
      </c>
      <c r="M23" s="49" t="s">
        <v>33</v>
      </c>
      <c r="N23" s="82" t="s">
        <v>25</v>
      </c>
      <c r="O23" s="64" t="s">
        <v>25</v>
      </c>
      <c r="P23" s="82">
        <f t="shared" ref="P23:P29" si="4">COUNTIF(B23:O23,"✔")</f>
        <v>7</v>
      </c>
      <c r="Q23" s="83">
        <f t="shared" ref="Q23:Q29" si="5">P23/14</f>
        <v>0.5</v>
      </c>
      <c r="R23" s="4" t="s">
        <v>26</v>
      </c>
      <c r="S23" t="s">
        <v>351</v>
      </c>
      <c r="T23" s="48" t="s">
        <v>34</v>
      </c>
      <c r="U23" s="59" t="s">
        <v>312</v>
      </c>
      <c r="V23" s="48" t="s">
        <v>352</v>
      </c>
      <c r="W23" s="48" t="s">
        <v>499</v>
      </c>
      <c r="X23" s="48" t="s">
        <v>192</v>
      </c>
      <c r="Y23" t="s">
        <v>1074</v>
      </c>
      <c r="AD23" t="s">
        <v>899</v>
      </c>
      <c r="AG23" t="s">
        <v>884</v>
      </c>
      <c r="AM23" t="s">
        <v>881</v>
      </c>
    </row>
    <row r="24" spans="1:40" ht="14.45" customHeight="1">
      <c r="A24" s="81" t="s">
        <v>529</v>
      </c>
      <c r="B24" s="82" t="s">
        <v>25</v>
      </c>
      <c r="C24" s="49" t="s">
        <v>33</v>
      </c>
      <c r="D24" s="82" t="s">
        <v>25</v>
      </c>
      <c r="E24" s="49" t="s">
        <v>33</v>
      </c>
      <c r="F24" s="49" t="s">
        <v>33</v>
      </c>
      <c r="G24" s="82" t="s">
        <v>25</v>
      </c>
      <c r="H24" s="49" t="s">
        <v>33</v>
      </c>
      <c r="I24" s="82" t="s">
        <v>25</v>
      </c>
      <c r="J24" s="82" t="s">
        <v>25</v>
      </c>
      <c r="K24" s="49" t="s">
        <v>33</v>
      </c>
      <c r="L24" s="49" t="s">
        <v>33</v>
      </c>
      <c r="M24" s="49" t="s">
        <v>33</v>
      </c>
      <c r="N24" s="82" t="s">
        <v>25</v>
      </c>
      <c r="O24" s="64" t="s">
        <v>25</v>
      </c>
      <c r="P24" s="82">
        <f t="shared" si="4"/>
        <v>7</v>
      </c>
      <c r="Q24" s="83">
        <f t="shared" si="5"/>
        <v>0.5</v>
      </c>
      <c r="R24" s="4" t="s">
        <v>26</v>
      </c>
      <c r="S24" t="s">
        <v>351</v>
      </c>
      <c r="T24" s="48" t="s">
        <v>34</v>
      </c>
      <c r="U24" s="59" t="s">
        <v>312</v>
      </c>
      <c r="V24" s="48" t="s">
        <v>352</v>
      </c>
      <c r="W24" s="48" t="s">
        <v>499</v>
      </c>
      <c r="X24" s="48" t="s">
        <v>192</v>
      </c>
      <c r="Y24" t="s">
        <v>1075</v>
      </c>
      <c r="AD24" t="s">
        <v>899</v>
      </c>
      <c r="AG24" t="s">
        <v>884</v>
      </c>
      <c r="AM24" t="s">
        <v>881</v>
      </c>
    </row>
    <row r="25" spans="1:40" ht="14.45" customHeight="1">
      <c r="A25" s="81" t="s">
        <v>530</v>
      </c>
      <c r="B25" s="82" t="s">
        <v>25</v>
      </c>
      <c r="C25" s="49" t="s">
        <v>33</v>
      </c>
      <c r="D25" s="82" t="s">
        <v>25</v>
      </c>
      <c r="E25" s="49" t="s">
        <v>33</v>
      </c>
      <c r="F25" s="49" t="s">
        <v>33</v>
      </c>
      <c r="G25" s="82" t="s">
        <v>25</v>
      </c>
      <c r="H25" s="49" t="s">
        <v>33</v>
      </c>
      <c r="I25" s="82" t="s">
        <v>25</v>
      </c>
      <c r="J25" s="49" t="s">
        <v>33</v>
      </c>
      <c r="K25" s="49" t="s">
        <v>33</v>
      </c>
      <c r="L25" s="49" t="s">
        <v>33</v>
      </c>
      <c r="M25" s="49" t="s">
        <v>33</v>
      </c>
      <c r="N25" s="49" t="s">
        <v>33</v>
      </c>
      <c r="O25" s="49" t="s">
        <v>33</v>
      </c>
      <c r="P25" s="82">
        <f t="shared" si="4"/>
        <v>4</v>
      </c>
      <c r="Q25" s="83">
        <f t="shared" si="5"/>
        <v>0.2857142857142857</v>
      </c>
      <c r="R25" s="4" t="s">
        <v>26</v>
      </c>
      <c r="S25" t="s">
        <v>531</v>
      </c>
      <c r="T25" s="48" t="s">
        <v>34</v>
      </c>
      <c r="U25" s="59" t="s">
        <v>312</v>
      </c>
      <c r="V25" s="48" t="s">
        <v>532</v>
      </c>
      <c r="W25" s="48" t="s">
        <v>499</v>
      </c>
      <c r="X25" s="48" t="s">
        <v>192</v>
      </c>
      <c r="Y25" t="s">
        <v>1076</v>
      </c>
      <c r="AD25" t="s">
        <v>899</v>
      </c>
      <c r="AG25" t="s">
        <v>884</v>
      </c>
      <c r="AM25" t="s">
        <v>881</v>
      </c>
    </row>
    <row r="26" spans="1:40" ht="14.45" customHeight="1">
      <c r="A26" s="81" t="s">
        <v>533</v>
      </c>
      <c r="B26" s="49" t="s">
        <v>33</v>
      </c>
      <c r="C26" s="49" t="s">
        <v>33</v>
      </c>
      <c r="D26" s="49" t="s">
        <v>33</v>
      </c>
      <c r="E26" s="82" t="s">
        <v>25</v>
      </c>
      <c r="F26" s="82" t="s">
        <v>25</v>
      </c>
      <c r="G26" s="49" t="s">
        <v>33</v>
      </c>
      <c r="H26" s="49" t="s">
        <v>33</v>
      </c>
      <c r="I26" s="49" t="s">
        <v>33</v>
      </c>
      <c r="J26" s="49" t="s">
        <v>33</v>
      </c>
      <c r="K26" s="49" t="s">
        <v>33</v>
      </c>
      <c r="L26" s="49" t="s">
        <v>33</v>
      </c>
      <c r="M26" s="49" t="s">
        <v>33</v>
      </c>
      <c r="N26" s="82" t="s">
        <v>25</v>
      </c>
      <c r="O26" s="82" t="s">
        <v>25</v>
      </c>
      <c r="P26" s="82">
        <f t="shared" si="4"/>
        <v>4</v>
      </c>
      <c r="Q26" s="83">
        <f t="shared" si="5"/>
        <v>0.2857142857142857</v>
      </c>
      <c r="R26" s="4" t="s">
        <v>26</v>
      </c>
      <c r="S26" t="s">
        <v>495</v>
      </c>
      <c r="T26" s="48" t="s">
        <v>34</v>
      </c>
      <c r="U26" s="59" t="s">
        <v>312</v>
      </c>
      <c r="V26" s="48" t="s">
        <v>373</v>
      </c>
      <c r="W26" s="48" t="s">
        <v>534</v>
      </c>
      <c r="X26" s="48" t="s">
        <v>192</v>
      </c>
      <c r="Y26" t="s">
        <v>1077</v>
      </c>
      <c r="AD26" t="s">
        <v>899</v>
      </c>
      <c r="AG26" t="s">
        <v>884</v>
      </c>
      <c r="AM26" t="s">
        <v>881</v>
      </c>
    </row>
    <row r="27" spans="1:40" ht="14.45" customHeight="1">
      <c r="A27" s="81" t="s">
        <v>535</v>
      </c>
      <c r="B27" s="49" t="s">
        <v>33</v>
      </c>
      <c r="C27" s="49" t="s">
        <v>33</v>
      </c>
      <c r="D27" s="49" t="s">
        <v>33</v>
      </c>
      <c r="E27" s="49" t="s">
        <v>33</v>
      </c>
      <c r="F27" s="49" t="s">
        <v>33</v>
      </c>
      <c r="G27" s="49" t="s">
        <v>33</v>
      </c>
      <c r="H27" s="49" t="s">
        <v>33</v>
      </c>
      <c r="I27" s="49" t="s">
        <v>33</v>
      </c>
      <c r="J27" s="82" t="s">
        <v>25</v>
      </c>
      <c r="K27" s="49" t="s">
        <v>33</v>
      </c>
      <c r="L27" s="49" t="s">
        <v>33</v>
      </c>
      <c r="M27" s="49" t="s">
        <v>33</v>
      </c>
      <c r="N27" s="49" t="s">
        <v>33</v>
      </c>
      <c r="O27" s="5" t="s">
        <v>33</v>
      </c>
      <c r="P27" s="82">
        <f t="shared" si="4"/>
        <v>1</v>
      </c>
      <c r="Q27" s="83">
        <f t="shared" si="5"/>
        <v>7.1428571428571425E-2</v>
      </c>
      <c r="R27" s="4" t="s">
        <v>26</v>
      </c>
      <c r="S27" t="s">
        <v>351</v>
      </c>
      <c r="T27" s="48" t="s">
        <v>34</v>
      </c>
      <c r="U27" s="59" t="s">
        <v>312</v>
      </c>
      <c r="V27" s="48" t="s">
        <v>352</v>
      </c>
      <c r="W27" s="48" t="s">
        <v>499</v>
      </c>
      <c r="X27" s="48" t="s">
        <v>192</v>
      </c>
      <c r="Y27" t="s">
        <v>1078</v>
      </c>
      <c r="AD27" t="s">
        <v>899</v>
      </c>
      <c r="AG27" t="s">
        <v>884</v>
      </c>
      <c r="AM27" t="s">
        <v>881</v>
      </c>
    </row>
    <row r="28" spans="1:40" ht="14.45" customHeight="1">
      <c r="A28" s="81" t="s">
        <v>536</v>
      </c>
      <c r="B28" s="82" t="s">
        <v>25</v>
      </c>
      <c r="C28" s="49" t="s">
        <v>33</v>
      </c>
      <c r="D28" s="49" t="s">
        <v>33</v>
      </c>
      <c r="E28" s="49" t="s">
        <v>33</v>
      </c>
      <c r="F28" s="49" t="s">
        <v>33</v>
      </c>
      <c r="G28" s="49" t="s">
        <v>33</v>
      </c>
      <c r="H28" s="49" t="s">
        <v>33</v>
      </c>
      <c r="I28" s="49" t="s">
        <v>33</v>
      </c>
      <c r="J28" s="49" t="s">
        <v>33</v>
      </c>
      <c r="K28" s="49" t="s">
        <v>33</v>
      </c>
      <c r="L28" s="49" t="s">
        <v>33</v>
      </c>
      <c r="M28" s="49" t="s">
        <v>33</v>
      </c>
      <c r="N28" s="49" t="s">
        <v>33</v>
      </c>
      <c r="O28" s="5" t="s">
        <v>33</v>
      </c>
      <c r="P28" s="82">
        <f t="shared" si="4"/>
        <v>1</v>
      </c>
      <c r="Q28" s="83">
        <f t="shared" si="5"/>
        <v>7.1428571428571425E-2</v>
      </c>
      <c r="R28" s="4" t="s">
        <v>65</v>
      </c>
      <c r="S28" t="s">
        <v>537</v>
      </c>
      <c r="T28" s="48" t="s">
        <v>34</v>
      </c>
      <c r="U28" s="59" t="s">
        <v>312</v>
      </c>
      <c r="V28" s="48" t="s">
        <v>538</v>
      </c>
      <c r="W28" s="48" t="s">
        <v>499</v>
      </c>
      <c r="X28" s="48" t="s">
        <v>192</v>
      </c>
      <c r="Y28" t="s">
        <v>1079</v>
      </c>
      <c r="AA28" t="s">
        <v>895</v>
      </c>
      <c r="AD28" t="s">
        <v>899</v>
      </c>
      <c r="AG28" t="s">
        <v>884</v>
      </c>
      <c r="AM28" t="s">
        <v>881</v>
      </c>
    </row>
    <row r="29" spans="1:40" ht="14.45" customHeight="1">
      <c r="A29" s="81" t="s">
        <v>539</v>
      </c>
      <c r="B29" s="82" t="s">
        <v>25</v>
      </c>
      <c r="C29" s="49" t="s">
        <v>33</v>
      </c>
      <c r="D29" s="49" t="s">
        <v>33</v>
      </c>
      <c r="E29" s="49" t="s">
        <v>33</v>
      </c>
      <c r="F29" s="49" t="s">
        <v>33</v>
      </c>
      <c r="G29" s="49" t="s">
        <v>33</v>
      </c>
      <c r="H29" s="49" t="s">
        <v>33</v>
      </c>
      <c r="I29" s="49" t="s">
        <v>33</v>
      </c>
      <c r="J29" s="49" t="s">
        <v>33</v>
      </c>
      <c r="K29" s="49" t="s">
        <v>33</v>
      </c>
      <c r="L29" s="49" t="s">
        <v>33</v>
      </c>
      <c r="M29" s="49" t="s">
        <v>33</v>
      </c>
      <c r="N29" s="49" t="s">
        <v>33</v>
      </c>
      <c r="O29" s="5" t="s">
        <v>33</v>
      </c>
      <c r="P29" s="82">
        <f t="shared" si="4"/>
        <v>1</v>
      </c>
      <c r="Q29" s="83">
        <f t="shared" si="5"/>
        <v>7.1428571428571425E-2</v>
      </c>
      <c r="R29" s="4" t="s">
        <v>65</v>
      </c>
      <c r="S29" t="s">
        <v>540</v>
      </c>
      <c r="T29" s="48" t="s">
        <v>34</v>
      </c>
      <c r="U29" s="59" t="s">
        <v>312</v>
      </c>
      <c r="V29" s="48" t="s">
        <v>538</v>
      </c>
      <c r="W29" s="48" t="s">
        <v>499</v>
      </c>
      <c r="X29" s="48" t="s">
        <v>192</v>
      </c>
      <c r="Y29" t="s">
        <v>1080</v>
      </c>
      <c r="AA29" t="s">
        <v>895</v>
      </c>
      <c r="AD29" t="s">
        <v>899</v>
      </c>
      <c r="AG29" t="s">
        <v>884</v>
      </c>
      <c r="AM29" t="s">
        <v>881</v>
      </c>
    </row>
    <row r="30" spans="1:40" ht="14.45" customHeight="1">
      <c r="A30" s="57" t="s">
        <v>541</v>
      </c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5"/>
      <c r="R30" s="65"/>
      <c r="S30" s="66"/>
      <c r="T30" s="79"/>
      <c r="U30" s="80"/>
      <c r="V30" s="79"/>
      <c r="W30" s="79"/>
      <c r="X30" s="79"/>
    </row>
    <row r="31" spans="1:40" ht="14.45" customHeight="1">
      <c r="A31" s="81" t="s">
        <v>542</v>
      </c>
      <c r="B31" s="82" t="s">
        <v>25</v>
      </c>
      <c r="C31" s="49" t="s">
        <v>33</v>
      </c>
      <c r="D31" s="82" t="s">
        <v>25</v>
      </c>
      <c r="E31" s="49" t="s">
        <v>33</v>
      </c>
      <c r="F31" s="49" t="s">
        <v>33</v>
      </c>
      <c r="G31" s="82" t="s">
        <v>25</v>
      </c>
      <c r="H31" s="49" t="s">
        <v>33</v>
      </c>
      <c r="I31" s="82" t="s">
        <v>25</v>
      </c>
      <c r="J31" s="82" t="s">
        <v>25</v>
      </c>
      <c r="K31" s="49" t="s">
        <v>33</v>
      </c>
      <c r="L31" s="49" t="s">
        <v>33</v>
      </c>
      <c r="M31" s="49" t="s">
        <v>33</v>
      </c>
      <c r="N31" s="49" t="s">
        <v>33</v>
      </c>
      <c r="O31" s="5" t="s">
        <v>33</v>
      </c>
      <c r="P31" s="82">
        <f>COUNTIF(B31:O31,"✔")</f>
        <v>5</v>
      </c>
      <c r="Q31" s="83">
        <f>P31/14</f>
        <v>0.35714285714285715</v>
      </c>
      <c r="R31" s="4" t="s">
        <v>65</v>
      </c>
      <c r="S31" t="s">
        <v>543</v>
      </c>
      <c r="T31" s="48" t="s">
        <v>34</v>
      </c>
      <c r="U31" s="86" t="s">
        <v>29</v>
      </c>
      <c r="V31" s="81" t="s">
        <v>236</v>
      </c>
      <c r="W31" s="81" t="s">
        <v>237</v>
      </c>
      <c r="X31" s="81" t="s">
        <v>544</v>
      </c>
      <c r="Y31" t="s">
        <v>1081</v>
      </c>
      <c r="AA31" t="s">
        <v>895</v>
      </c>
      <c r="AD31" t="s">
        <v>950</v>
      </c>
      <c r="AG31" t="s">
        <v>884</v>
      </c>
      <c r="AM31" t="s">
        <v>916</v>
      </c>
      <c r="AN31" t="s">
        <v>236</v>
      </c>
    </row>
    <row r="32" spans="1:40" ht="14.45" customHeight="1">
      <c r="A32" s="81" t="s">
        <v>545</v>
      </c>
      <c r="B32" s="49" t="s">
        <v>33</v>
      </c>
      <c r="C32" s="49" t="s">
        <v>33</v>
      </c>
      <c r="D32" s="82" t="s">
        <v>25</v>
      </c>
      <c r="E32" s="49" t="s">
        <v>33</v>
      </c>
      <c r="F32" s="49" t="s">
        <v>33</v>
      </c>
      <c r="G32" s="82" t="s">
        <v>25</v>
      </c>
      <c r="H32" s="49" t="s">
        <v>33</v>
      </c>
      <c r="I32" s="82" t="s">
        <v>25</v>
      </c>
      <c r="J32" s="49" t="s">
        <v>33</v>
      </c>
      <c r="K32" s="49" t="s">
        <v>33</v>
      </c>
      <c r="L32" s="49" t="s">
        <v>33</v>
      </c>
      <c r="M32" s="49" t="s">
        <v>33</v>
      </c>
      <c r="N32" s="49" t="s">
        <v>33</v>
      </c>
      <c r="O32" s="5" t="s">
        <v>33</v>
      </c>
      <c r="P32" s="82">
        <f>COUNTIF(B32:O32,"✔")</f>
        <v>3</v>
      </c>
      <c r="Q32" s="83">
        <f>P32/14</f>
        <v>0.21428571428571427</v>
      </c>
      <c r="R32" s="4" t="s">
        <v>65</v>
      </c>
      <c r="S32" t="s">
        <v>543</v>
      </c>
      <c r="T32" s="48" t="s">
        <v>34</v>
      </c>
      <c r="U32" s="86" t="s">
        <v>29</v>
      </c>
      <c r="V32" s="81" t="s">
        <v>236</v>
      </c>
      <c r="W32" s="81" t="s">
        <v>237</v>
      </c>
      <c r="X32" s="81" t="s">
        <v>544</v>
      </c>
      <c r="Y32" t="s">
        <v>1082</v>
      </c>
      <c r="AA32" t="s">
        <v>895</v>
      </c>
      <c r="AD32" t="s">
        <v>950</v>
      </c>
      <c r="AG32" t="s">
        <v>884</v>
      </c>
      <c r="AM32" t="s">
        <v>916</v>
      </c>
      <c r="AN32" t="s">
        <v>236</v>
      </c>
    </row>
    <row r="33" spans="1:40" ht="14.45" customHeight="1">
      <c r="A33" s="81" t="s">
        <v>546</v>
      </c>
      <c r="B33" s="49" t="s">
        <v>33</v>
      </c>
      <c r="C33" s="49" t="s">
        <v>33</v>
      </c>
      <c r="D33" s="49" t="s">
        <v>33</v>
      </c>
      <c r="E33" s="49" t="s">
        <v>33</v>
      </c>
      <c r="F33" s="82" t="s">
        <v>25</v>
      </c>
      <c r="G33" s="49" t="s">
        <v>33</v>
      </c>
      <c r="H33" s="82" t="s">
        <v>25</v>
      </c>
      <c r="I33" s="49" t="s">
        <v>33</v>
      </c>
      <c r="J33" s="49" t="s">
        <v>33</v>
      </c>
      <c r="K33" s="49" t="s">
        <v>33</v>
      </c>
      <c r="L33" s="49" t="s">
        <v>33</v>
      </c>
      <c r="M33" s="49" t="s">
        <v>33</v>
      </c>
      <c r="N33" s="49" t="s">
        <v>33</v>
      </c>
      <c r="O33" s="5" t="s">
        <v>33</v>
      </c>
      <c r="P33" s="82">
        <f>COUNTIF(B33:O33,"✔")</f>
        <v>2</v>
      </c>
      <c r="Q33" s="83">
        <f>P33/14</f>
        <v>0.14285714285714285</v>
      </c>
      <c r="R33" s="4" t="s">
        <v>26</v>
      </c>
      <c r="S33" t="s">
        <v>150</v>
      </c>
      <c r="T33" s="48" t="s">
        <v>34</v>
      </c>
      <c r="U33" s="86" t="s">
        <v>29</v>
      </c>
      <c r="V33" s="81" t="s">
        <v>236</v>
      </c>
      <c r="W33" s="81" t="s">
        <v>237</v>
      </c>
      <c r="X33" s="81" t="s">
        <v>544</v>
      </c>
      <c r="Y33" t="s">
        <v>1083</v>
      </c>
      <c r="AD33" t="s">
        <v>950</v>
      </c>
      <c r="AG33" t="s">
        <v>884</v>
      </c>
      <c r="AM33" t="s">
        <v>916</v>
      </c>
      <c r="AN33" t="s">
        <v>236</v>
      </c>
    </row>
    <row r="34" spans="1:40" ht="14.45" customHeight="1">
      <c r="A34" s="57" t="s">
        <v>547</v>
      </c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5"/>
      <c r="R34" s="65"/>
      <c r="S34" s="66"/>
      <c r="T34" s="79"/>
      <c r="U34" s="80"/>
      <c r="V34" s="79"/>
      <c r="W34" s="79"/>
      <c r="X34" s="79"/>
    </row>
    <row r="35" spans="1:40" ht="14.45" customHeight="1">
      <c r="A35" s="81" t="s">
        <v>548</v>
      </c>
      <c r="B35" s="82" t="s">
        <v>25</v>
      </c>
      <c r="C35" s="49" t="s">
        <v>33</v>
      </c>
      <c r="D35" s="49" t="s">
        <v>33</v>
      </c>
      <c r="E35" s="49" t="s">
        <v>33</v>
      </c>
      <c r="F35" s="82" t="s">
        <v>25</v>
      </c>
      <c r="G35" s="82" t="s">
        <v>25</v>
      </c>
      <c r="H35" s="49" t="s">
        <v>33</v>
      </c>
      <c r="I35" s="82" t="s">
        <v>25</v>
      </c>
      <c r="J35" s="49" t="s">
        <v>33</v>
      </c>
      <c r="K35" s="49" t="s">
        <v>33</v>
      </c>
      <c r="L35" s="49" t="s">
        <v>33</v>
      </c>
      <c r="M35" s="82" t="s">
        <v>25</v>
      </c>
      <c r="N35" s="49" t="s">
        <v>33</v>
      </c>
      <c r="O35" s="5" t="s">
        <v>33</v>
      </c>
      <c r="P35" s="82">
        <f>COUNTIF(B35:O35,"✔")</f>
        <v>5</v>
      </c>
      <c r="Q35" s="83">
        <f>P35/14</f>
        <v>0.35714285714285715</v>
      </c>
      <c r="R35" s="4" t="s">
        <v>26</v>
      </c>
      <c r="S35" t="s">
        <v>549</v>
      </c>
      <c r="T35" s="48" t="s">
        <v>34</v>
      </c>
      <c r="U35" s="86" t="s">
        <v>29</v>
      </c>
      <c r="V35" s="81" t="s">
        <v>236</v>
      </c>
      <c r="W35" s="81" t="s">
        <v>237</v>
      </c>
      <c r="X35" s="81" t="s">
        <v>544</v>
      </c>
      <c r="Y35" t="s">
        <v>1084</v>
      </c>
      <c r="AD35" t="s">
        <v>950</v>
      </c>
      <c r="AG35" t="s">
        <v>884</v>
      </c>
      <c r="AM35" t="s">
        <v>916</v>
      </c>
      <c r="AN35" t="s">
        <v>236</v>
      </c>
    </row>
    <row r="36" spans="1:40" ht="14.45" customHeight="1">
      <c r="A36" s="81" t="s">
        <v>550</v>
      </c>
      <c r="B36" s="82" t="s">
        <v>25</v>
      </c>
      <c r="C36" s="49" t="s">
        <v>33</v>
      </c>
      <c r="D36" s="82" t="s">
        <v>25</v>
      </c>
      <c r="E36" s="49" t="s">
        <v>33</v>
      </c>
      <c r="F36" s="49" t="s">
        <v>33</v>
      </c>
      <c r="G36" s="82" t="s">
        <v>25</v>
      </c>
      <c r="H36" s="49" t="s">
        <v>33</v>
      </c>
      <c r="I36" s="82" t="s">
        <v>25</v>
      </c>
      <c r="J36" s="49" t="s">
        <v>33</v>
      </c>
      <c r="K36" s="49" t="s">
        <v>33</v>
      </c>
      <c r="L36" s="49" t="s">
        <v>33</v>
      </c>
      <c r="M36" s="82" t="s">
        <v>25</v>
      </c>
      <c r="N36" s="49" t="s">
        <v>33</v>
      </c>
      <c r="O36" s="5" t="s">
        <v>33</v>
      </c>
      <c r="P36" s="82">
        <f>COUNTIF(B36:O36,"✔")</f>
        <v>5</v>
      </c>
      <c r="Q36" s="83">
        <f>P36/14</f>
        <v>0.35714285714285715</v>
      </c>
      <c r="R36" s="4" t="s">
        <v>26</v>
      </c>
      <c r="S36" t="s">
        <v>383</v>
      </c>
      <c r="T36" s="48" t="s">
        <v>34</v>
      </c>
      <c r="U36" s="86" t="s">
        <v>29</v>
      </c>
      <c r="V36" s="81" t="s">
        <v>236</v>
      </c>
      <c r="W36" s="81" t="s">
        <v>237</v>
      </c>
      <c r="X36" s="81" t="s">
        <v>544</v>
      </c>
      <c r="Y36" t="s">
        <v>1085</v>
      </c>
      <c r="AD36" t="s">
        <v>950</v>
      </c>
      <c r="AG36" t="s">
        <v>884</v>
      </c>
      <c r="AM36" t="s">
        <v>916</v>
      </c>
      <c r="AN36" t="s">
        <v>236</v>
      </c>
    </row>
    <row r="37" spans="1:40" ht="14.45" customHeight="1">
      <c r="A37" s="81" t="s">
        <v>551</v>
      </c>
      <c r="B37" s="82" t="s">
        <v>25</v>
      </c>
      <c r="C37" s="49" t="s">
        <v>33</v>
      </c>
      <c r="D37" s="82" t="s">
        <v>25</v>
      </c>
      <c r="E37" s="49" t="s">
        <v>33</v>
      </c>
      <c r="F37" s="49" t="s">
        <v>33</v>
      </c>
      <c r="G37" s="82" t="s">
        <v>25</v>
      </c>
      <c r="H37" s="49" t="s">
        <v>33</v>
      </c>
      <c r="I37" s="82" t="s">
        <v>25</v>
      </c>
      <c r="J37" s="49" t="s">
        <v>33</v>
      </c>
      <c r="K37" s="49" t="s">
        <v>33</v>
      </c>
      <c r="L37" s="49" t="s">
        <v>33</v>
      </c>
      <c r="M37" s="49" t="s">
        <v>33</v>
      </c>
      <c r="N37" s="49" t="s">
        <v>33</v>
      </c>
      <c r="O37" s="5" t="s">
        <v>33</v>
      </c>
      <c r="P37" s="82">
        <f>COUNTIF(B37:O37,"✔")</f>
        <v>4</v>
      </c>
      <c r="Q37" s="83">
        <f>P37/14</f>
        <v>0.2857142857142857</v>
      </c>
      <c r="R37" s="4" t="s">
        <v>26</v>
      </c>
      <c r="S37" t="s">
        <v>552</v>
      </c>
      <c r="T37" s="48" t="s">
        <v>34</v>
      </c>
      <c r="U37" s="86" t="s">
        <v>29</v>
      </c>
      <c r="V37" s="81" t="s">
        <v>236</v>
      </c>
      <c r="W37" s="81" t="s">
        <v>237</v>
      </c>
      <c r="X37" s="81" t="s">
        <v>544</v>
      </c>
      <c r="Y37" t="s">
        <v>1086</v>
      </c>
      <c r="AD37" t="s">
        <v>950</v>
      </c>
      <c r="AG37" t="s">
        <v>884</v>
      </c>
      <c r="AM37" t="s">
        <v>916</v>
      </c>
      <c r="AN37" t="s">
        <v>236</v>
      </c>
    </row>
    <row r="38" spans="1:40" ht="14.45" customHeight="1">
      <c r="A38" s="57" t="s">
        <v>553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5"/>
      <c r="R38" s="65"/>
      <c r="S38" s="66"/>
      <c r="T38" s="79"/>
      <c r="U38" s="80"/>
      <c r="V38" s="79"/>
      <c r="W38" s="79"/>
      <c r="X38" s="79"/>
    </row>
    <row r="39" spans="1:40" ht="14.45" customHeight="1">
      <c r="A39" s="81" t="s">
        <v>554</v>
      </c>
      <c r="B39" s="82" t="s">
        <v>25</v>
      </c>
      <c r="C39" s="49" t="s">
        <v>33</v>
      </c>
      <c r="D39" s="49" t="s">
        <v>33</v>
      </c>
      <c r="E39" s="82" t="s">
        <v>25</v>
      </c>
      <c r="F39" s="49" t="s">
        <v>33</v>
      </c>
      <c r="G39" s="82" t="s">
        <v>25</v>
      </c>
      <c r="H39" s="82" t="s">
        <v>25</v>
      </c>
      <c r="I39" s="82" t="s">
        <v>25</v>
      </c>
      <c r="J39" s="49" t="s">
        <v>33</v>
      </c>
      <c r="K39" s="49" t="s">
        <v>33</v>
      </c>
      <c r="L39" s="49" t="s">
        <v>33</v>
      </c>
      <c r="M39" s="82" t="s">
        <v>25</v>
      </c>
      <c r="N39" s="49" t="s">
        <v>33</v>
      </c>
      <c r="O39" s="5" t="s">
        <v>33</v>
      </c>
      <c r="P39" s="82">
        <f>COUNTIF(B39:O39,"✔")</f>
        <v>6</v>
      </c>
      <c r="Q39" s="83">
        <f>P39/14</f>
        <v>0.42857142857142855</v>
      </c>
      <c r="R39" s="4" t="s">
        <v>26</v>
      </c>
      <c r="S39" t="s">
        <v>555</v>
      </c>
      <c r="T39" s="48" t="s">
        <v>34</v>
      </c>
      <c r="U39" s="59" t="s">
        <v>40</v>
      </c>
      <c r="V39" s="48" t="s">
        <v>41</v>
      </c>
      <c r="W39" s="48" t="s">
        <v>42</v>
      </c>
      <c r="X39" s="46" t="s">
        <v>43</v>
      </c>
      <c r="Y39" t="s">
        <v>1087</v>
      </c>
      <c r="AD39" t="s">
        <v>886</v>
      </c>
      <c r="AG39" t="s">
        <v>880</v>
      </c>
      <c r="AM39" t="s">
        <v>881</v>
      </c>
    </row>
    <row r="40" spans="1:40" ht="14.45" customHeight="1">
      <c r="A40" s="81" t="s">
        <v>556</v>
      </c>
      <c r="B40" s="82" t="s">
        <v>25</v>
      </c>
      <c r="C40" s="49" t="s">
        <v>33</v>
      </c>
      <c r="D40" s="49" t="s">
        <v>33</v>
      </c>
      <c r="E40" s="82" t="s">
        <v>25</v>
      </c>
      <c r="F40" s="49" t="s">
        <v>33</v>
      </c>
      <c r="G40" s="49" t="s">
        <v>33</v>
      </c>
      <c r="H40" s="82" t="s">
        <v>25</v>
      </c>
      <c r="I40" s="49" t="s">
        <v>33</v>
      </c>
      <c r="J40" s="49" t="s">
        <v>33</v>
      </c>
      <c r="K40" s="49" t="s">
        <v>33</v>
      </c>
      <c r="L40" s="49" t="s">
        <v>33</v>
      </c>
      <c r="M40" s="82" t="s">
        <v>25</v>
      </c>
      <c r="N40" s="49" t="s">
        <v>33</v>
      </c>
      <c r="O40" s="5" t="s">
        <v>33</v>
      </c>
      <c r="P40" s="82">
        <f>COUNTIF(B40:O40,"✔")</f>
        <v>4</v>
      </c>
      <c r="Q40" s="83">
        <f>P40/14</f>
        <v>0.2857142857142857</v>
      </c>
      <c r="R40" s="4" t="s">
        <v>26</v>
      </c>
      <c r="S40" t="s">
        <v>557</v>
      </c>
      <c r="T40" s="48" t="s">
        <v>34</v>
      </c>
      <c r="U40" s="59" t="s">
        <v>29</v>
      </c>
      <c r="V40" s="48" t="s">
        <v>60</v>
      </c>
      <c r="W40" s="48" t="s">
        <v>378</v>
      </c>
      <c r="X40" s="46" t="s">
        <v>379</v>
      </c>
      <c r="Y40" t="s">
        <v>1088</v>
      </c>
      <c r="AD40" t="s">
        <v>950</v>
      </c>
      <c r="AG40" t="s">
        <v>884</v>
      </c>
      <c r="AM40" t="s">
        <v>881</v>
      </c>
    </row>
    <row r="41" spans="1:40" ht="14.45" customHeight="1">
      <c r="A41" s="81" t="s">
        <v>558</v>
      </c>
      <c r="B41" s="49" t="s">
        <v>33</v>
      </c>
      <c r="C41" s="49" t="s">
        <v>33</v>
      </c>
      <c r="D41" s="49" t="s">
        <v>33</v>
      </c>
      <c r="E41" s="49" t="s">
        <v>33</v>
      </c>
      <c r="F41" s="49" t="s">
        <v>33</v>
      </c>
      <c r="G41" s="49" t="s">
        <v>33</v>
      </c>
      <c r="H41" s="82" t="s">
        <v>25</v>
      </c>
      <c r="I41" s="49" t="s">
        <v>33</v>
      </c>
      <c r="J41" s="82" t="s">
        <v>25</v>
      </c>
      <c r="K41" s="49" t="s">
        <v>33</v>
      </c>
      <c r="L41" s="49" t="s">
        <v>33</v>
      </c>
      <c r="M41" s="49" t="s">
        <v>33</v>
      </c>
      <c r="N41" s="49" t="s">
        <v>33</v>
      </c>
      <c r="O41" s="5" t="s">
        <v>33</v>
      </c>
      <c r="P41" s="82">
        <f>COUNTIF(B41:O41,"✔")</f>
        <v>2</v>
      </c>
      <c r="Q41" s="83">
        <f>P41/14</f>
        <v>0.14285714285714285</v>
      </c>
      <c r="R41" s="4" t="s">
        <v>65</v>
      </c>
      <c r="S41" t="s">
        <v>559</v>
      </c>
      <c r="T41" s="86"/>
      <c r="U41" s="86" t="s">
        <v>33</v>
      </c>
      <c r="V41" s="86"/>
      <c r="W41" s="86"/>
      <c r="X41" s="86"/>
      <c r="Y41" t="s">
        <v>1089</v>
      </c>
      <c r="AA41" t="s">
        <v>895</v>
      </c>
      <c r="AM41" t="s">
        <v>895</v>
      </c>
    </row>
  </sheetData>
  <dataValidations count="7">
    <dataValidation type="list" allowBlank="1" showInputMessage="1" sqref="AA2:AA41" xr:uid="{A6E8D794-A4B6-4EEC-A76E-D0896F3B5E72}">
      <mc:AlternateContent xmlns:x12ac="http://schemas.microsoft.com/office/spreadsheetml/2011/1/ac" xmlns:mc="http://schemas.openxmlformats.org/markup-compatibility/2006">
        <mc:Choice Requires="x12ac">
          <x12ac:list>"Mandatory,Optional,Out of scope,N/A"</x12ac:list>
        </mc:Choice>
        <mc:Fallback>
          <formula1>"Mandatory,Optional,Out of scope,N/A"</formula1>
        </mc:Fallback>
      </mc:AlternateContent>
    </dataValidation>
    <dataValidation type="list" allowBlank="1" showInputMessage="1" sqref="AD2:AD41" xr:uid="{5CE6C103-C757-4674-A9C5-23185DBCA3D3}">
      <mc:AlternateContent xmlns:x12ac="http://schemas.microsoft.com/office/spreadsheetml/2011/1/ac" xmlns:mc="http://schemas.openxmlformats.org/markup-compatibility/2006">
        <mc:Choice Requires="x12ac">
          <x12ac:list>"numeric,categorical,boolean,date,text,document,geometry,time series,reference,composite"</x12ac:list>
        </mc:Choice>
        <mc:Fallback>
          <formula1>"numeric,categorical,boolean,date,text,document,geometry,time series,reference,composite"</formula1>
        </mc:Fallback>
      </mc:AlternateContent>
    </dataValidation>
    <dataValidation type="list" allowBlank="1" showInputMessage="1" sqref="AG2:AG41" xr:uid="{1D4B044A-4D22-419C-844C-47073A529E5D}">
      <mc:AlternateContent xmlns:x12ac="http://schemas.microsoft.com/office/spreadsheetml/2011/1/ac" xmlns:mc="http://schemas.openxmlformats.org/markup-compatibility/2006">
        <mc:Choice Requires="x12ac">
          <x12ac:list>"building,unit,zone,component,site / context,any level"</x12ac:list>
        </mc:Choice>
        <mc:Fallback>
          <formula1>"building,unit,zone,component,site / context,any level"</formula1>
        </mc:Fallback>
      </mc:AlternateContent>
    </dataValidation>
    <dataValidation type="list" allowBlank="1" showInputMessage="1" sqref="AH2:AH41" xr:uid="{5D0F4589-DC95-45C0-BF08-ED1534B537D0}">
      <mc:AlternateContent xmlns:x12ac="http://schemas.microsoft.com/office/spreadsheetml/2011/1/ac" xmlns:mc="http://schemas.openxmlformats.org/markup-compatibility/2006">
        <mc:Choice Requires="x12ac">
          <x12ac:list>"static,historical,periodic,real-time"</x12ac:list>
        </mc:Choice>
        <mc:Fallback>
          <formula1>"static,historical,periodic,real-time"</formula1>
        </mc:Fallback>
      </mc:AlternateContent>
    </dataValidation>
    <dataValidation type="list" allowBlank="1" showInputMessage="1" sqref="AI2:AI41" xr:uid="{79646C96-0DB6-4542-8298-F167FBB32239}">
      <mc:AlternateContent xmlns:x12ac="http://schemas.microsoft.com/office/spreadsheetml/2011/1/ac" xmlns:mc="http://schemas.openxmlformats.org/markup-compatibility/2006">
        <mc:Choice Requires="x12ac">
          <x12ac:list>"Public,Restricted,Personal data (GDPR),Commercially sensitive"</x12ac:list>
        </mc:Choice>
        <mc:Fallback>
          <formula1>"Public,Restricted,Personal data (GDPR),Commercially sensitive"</formula1>
        </mc:Fallback>
      </mc:AlternateContent>
    </dataValidation>
    <dataValidation type="list" allowBlank="1" showInputMessage="1" sqref="AL2:AL41" xr:uid="{CC05DB61-09A1-432D-A67F-E648C455D303}">
      <mc:AlternateContent xmlns:x12ac="http://schemas.microsoft.com/office/spreadsheetml/2011/1/ac" xmlns:mc="http://schemas.openxmlformats.org/markup-compatibility/2006">
        <mc:Choice Requires="x12ac">
          <x12ac:list>"open data,API,manual input,inspection,derived"</x12ac:list>
        </mc:Choice>
        <mc:Fallback>
          <formula1>"open data,API,manual input,inspection,derived"</formula1>
        </mc:Fallback>
      </mc:AlternateContent>
    </dataValidation>
    <dataValidation type="list" allowBlank="1" showInputMessage="1" sqref="AM2:AM41" xr:uid="{62D0C304-F5FF-4D31-BC45-0C25057A84AA}">
      <mc:AlternateContent xmlns:x12ac="http://schemas.microsoft.com/office/spreadsheetml/2011/1/ac" xmlns:mc="http://schemas.openxmlformats.org/markup-compatibility/2006">
        <mc:Choice Requires="x12ac">
          <x12ac:list>"Native,Workaround,Extension needed,Out of scope,N/A"</x12ac:list>
        </mc:Choice>
        <mc:Fallback>
          <formula1>"Native,Workaround,Extension needed,Out of scope,N/A"</formula1>
        </mc:Fallback>
      </mc:AlternateContent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3"/>
  <dimension ref="A1:AN32"/>
  <sheetViews>
    <sheetView zoomScale="62" zoomScaleNormal="100" workbookViewId="0">
      <pane xSplit="1" topLeftCell="K1" activePane="topRight" state="frozen"/>
      <selection activeCell="Q37" sqref="Q37"/>
      <selection pane="topRight" activeCell="P6" sqref="P6"/>
    </sheetView>
  </sheetViews>
  <sheetFormatPr defaultRowHeight="15" customHeight="1"/>
  <cols>
    <col min="1" max="1" width="50.7109375" customWidth="1"/>
    <col min="2" max="18" width="13.7109375" customWidth="1"/>
    <col min="19" max="22" width="20.7109375" customWidth="1"/>
    <col min="25" max="40" width="16.7109375" customWidth="1"/>
  </cols>
  <sheetData>
    <row r="1" spans="1:40" ht="75" customHeight="1">
      <c r="A1" s="76" t="s">
        <v>851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67" t="s">
        <v>17</v>
      </c>
      <c r="S1" s="67" t="s">
        <v>18</v>
      </c>
      <c r="T1" s="78" t="s">
        <v>19</v>
      </c>
      <c r="U1" s="77" t="s">
        <v>20</v>
      </c>
      <c r="V1" s="77" t="s">
        <v>21</v>
      </c>
      <c r="W1" s="77" t="s">
        <v>22</v>
      </c>
      <c r="X1" s="77" t="s">
        <v>23</v>
      </c>
      <c r="Y1" s="77" t="s">
        <v>862</v>
      </c>
      <c r="Z1" s="77" t="s">
        <v>863</v>
      </c>
      <c r="AA1" s="77" t="s">
        <v>864</v>
      </c>
      <c r="AB1" s="77" t="s">
        <v>865</v>
      </c>
      <c r="AC1" s="77" t="s">
        <v>866</v>
      </c>
      <c r="AD1" s="77" t="s">
        <v>867</v>
      </c>
      <c r="AE1" s="77" t="s">
        <v>868</v>
      </c>
      <c r="AF1" s="77" t="s">
        <v>869</v>
      </c>
      <c r="AG1" s="77" t="s">
        <v>870</v>
      </c>
      <c r="AH1" s="77" t="s">
        <v>871</v>
      </c>
      <c r="AI1" s="77" t="s">
        <v>872</v>
      </c>
      <c r="AJ1" s="77" t="s">
        <v>873</v>
      </c>
      <c r="AK1" s="77" t="s">
        <v>874</v>
      </c>
      <c r="AL1" s="77" t="s">
        <v>875</v>
      </c>
      <c r="AM1" s="77" t="s">
        <v>876</v>
      </c>
      <c r="AN1" s="77" t="s">
        <v>877</v>
      </c>
    </row>
    <row r="2" spans="1:40" ht="14.45" customHeight="1">
      <c r="A2" s="81" t="s">
        <v>812</v>
      </c>
      <c r="B2" s="82" t="s">
        <v>25</v>
      </c>
      <c r="C2" s="82" t="s">
        <v>25</v>
      </c>
      <c r="D2" s="82" t="s">
        <v>25</v>
      </c>
      <c r="E2" s="82" t="s">
        <v>25</v>
      </c>
      <c r="F2" s="49" t="s">
        <v>33</v>
      </c>
      <c r="G2" s="82" t="s">
        <v>25</v>
      </c>
      <c r="H2" s="49" t="s">
        <v>33</v>
      </c>
      <c r="I2" s="82" t="s">
        <v>25</v>
      </c>
      <c r="J2" s="82" t="s">
        <v>25</v>
      </c>
      <c r="K2" s="82" t="s">
        <v>25</v>
      </c>
      <c r="L2" s="49" t="s">
        <v>33</v>
      </c>
      <c r="M2" s="82" t="s">
        <v>25</v>
      </c>
      <c r="N2" s="49" t="s">
        <v>33</v>
      </c>
      <c r="O2" s="5" t="s">
        <v>33</v>
      </c>
      <c r="P2" s="82">
        <f>COUNTIF(B2:O2,"✔")</f>
        <v>9</v>
      </c>
      <c r="Q2" s="83">
        <f>P2/14</f>
        <v>0.6428571428571429</v>
      </c>
      <c r="R2" s="4" t="s">
        <v>26</v>
      </c>
      <c r="S2" t="s">
        <v>813</v>
      </c>
      <c r="T2" s="73" t="s">
        <v>34</v>
      </c>
      <c r="U2" s="51" t="s">
        <v>814</v>
      </c>
      <c r="V2" s="51" t="s">
        <v>815</v>
      </c>
      <c r="W2" s="48"/>
      <c r="X2" s="48"/>
      <c r="Y2" t="s">
        <v>1090</v>
      </c>
      <c r="AG2" t="s">
        <v>918</v>
      </c>
      <c r="AM2" t="s">
        <v>881</v>
      </c>
    </row>
    <row r="3" spans="1:40" ht="14.45" customHeight="1">
      <c r="A3" s="81"/>
      <c r="B3" s="82"/>
      <c r="C3" s="82"/>
      <c r="D3" s="82"/>
      <c r="E3" s="82"/>
      <c r="F3" s="49"/>
      <c r="G3" s="82"/>
      <c r="H3" s="49"/>
      <c r="I3" s="82"/>
      <c r="J3" s="82"/>
      <c r="K3" s="82"/>
      <c r="L3" s="49"/>
      <c r="M3" s="49"/>
      <c r="N3" s="49"/>
      <c r="O3" s="49"/>
      <c r="P3" s="82"/>
      <c r="Q3" s="83"/>
      <c r="R3" s="4"/>
      <c r="T3" s="73" t="s">
        <v>34</v>
      </c>
      <c r="U3" s="51" t="s">
        <v>816</v>
      </c>
      <c r="V3" s="51" t="s">
        <v>817</v>
      </c>
      <c r="W3" s="48" t="s">
        <v>593</v>
      </c>
      <c r="X3" s="48" t="s">
        <v>192</v>
      </c>
    </row>
    <row r="4" spans="1:40" ht="14.45" customHeight="1">
      <c r="A4" s="81" t="s">
        <v>818</v>
      </c>
      <c r="B4" s="82" t="s">
        <v>25</v>
      </c>
      <c r="C4" s="49" t="s">
        <v>33</v>
      </c>
      <c r="D4" s="82" t="s">
        <v>25</v>
      </c>
      <c r="E4" s="49" t="s">
        <v>33</v>
      </c>
      <c r="F4" s="49" t="s">
        <v>33</v>
      </c>
      <c r="G4" s="82" t="s">
        <v>25</v>
      </c>
      <c r="H4" s="49" t="s">
        <v>33</v>
      </c>
      <c r="I4" s="82" t="s">
        <v>25</v>
      </c>
      <c r="J4" s="82" t="s">
        <v>25</v>
      </c>
      <c r="K4" s="49" t="s">
        <v>33</v>
      </c>
      <c r="L4" s="82" t="s">
        <v>25</v>
      </c>
      <c r="M4" s="82" t="s">
        <v>25</v>
      </c>
      <c r="N4" s="49" t="s">
        <v>33</v>
      </c>
      <c r="O4" s="5" t="s">
        <v>33</v>
      </c>
      <c r="P4" s="82">
        <f>COUNTIF(B4:O4,"✔")</f>
        <v>7</v>
      </c>
      <c r="Q4" s="83">
        <f>P4/14</f>
        <v>0.5</v>
      </c>
      <c r="R4" s="4" t="s">
        <v>26</v>
      </c>
      <c r="S4" t="s">
        <v>819</v>
      </c>
      <c r="T4" s="73" t="s">
        <v>34</v>
      </c>
      <c r="U4" s="51" t="s">
        <v>29</v>
      </c>
      <c r="V4" s="51" t="s">
        <v>726</v>
      </c>
      <c r="W4" s="51" t="s">
        <v>727</v>
      </c>
      <c r="X4" s="51" t="s">
        <v>728</v>
      </c>
      <c r="Y4" t="s">
        <v>1091</v>
      </c>
      <c r="AD4" t="s">
        <v>883</v>
      </c>
      <c r="AG4" t="s">
        <v>918</v>
      </c>
      <c r="AM4" t="s">
        <v>881</v>
      </c>
    </row>
    <row r="5" spans="1:40" ht="14.45" customHeight="1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3"/>
      <c r="R5" s="4"/>
      <c r="T5" s="73" t="s">
        <v>34</v>
      </c>
      <c r="U5" s="51" t="s">
        <v>29</v>
      </c>
      <c r="V5" s="51" t="s">
        <v>35</v>
      </c>
      <c r="W5" s="51" t="s">
        <v>132</v>
      </c>
      <c r="X5" s="51" t="s">
        <v>820</v>
      </c>
    </row>
    <row r="6" spans="1:40" ht="14.45" customHeight="1">
      <c r="A6" s="81" t="s">
        <v>821</v>
      </c>
      <c r="B6" s="82" t="s">
        <v>25</v>
      </c>
      <c r="C6" s="49" t="s">
        <v>33</v>
      </c>
      <c r="D6" s="82" t="s">
        <v>25</v>
      </c>
      <c r="E6" s="49" t="s">
        <v>33</v>
      </c>
      <c r="F6" s="82" t="s">
        <v>25</v>
      </c>
      <c r="G6" s="82" t="s">
        <v>25</v>
      </c>
      <c r="H6" s="49" t="s">
        <v>33</v>
      </c>
      <c r="I6" s="82" t="s">
        <v>25</v>
      </c>
      <c r="J6" s="49" t="s">
        <v>33</v>
      </c>
      <c r="K6" s="49" t="s">
        <v>33</v>
      </c>
      <c r="L6" s="49" t="s">
        <v>33</v>
      </c>
      <c r="M6" s="49" t="s">
        <v>33</v>
      </c>
      <c r="N6" s="49" t="s">
        <v>33</v>
      </c>
      <c r="O6" s="5" t="s">
        <v>33</v>
      </c>
      <c r="P6" s="82">
        <f t="shared" ref="P6:P14" si="0">COUNTIF(B6:O6,"✔")</f>
        <v>5</v>
      </c>
      <c r="Q6" s="83">
        <f t="shared" ref="Q6:Q14" si="1">P6/14</f>
        <v>0.35714285714285715</v>
      </c>
      <c r="R6" s="4" t="s">
        <v>26</v>
      </c>
      <c r="S6" t="s">
        <v>822</v>
      </c>
      <c r="T6" s="74" t="s">
        <v>34</v>
      </c>
      <c r="U6" s="48" t="s">
        <v>29</v>
      </c>
      <c r="V6" s="48" t="s">
        <v>35</v>
      </c>
      <c r="W6" s="48" t="s">
        <v>142</v>
      </c>
      <c r="X6" s="48" t="s">
        <v>143</v>
      </c>
      <c r="Y6" t="s">
        <v>1092</v>
      </c>
      <c r="AD6" t="s">
        <v>879</v>
      </c>
      <c r="AG6" t="s">
        <v>884</v>
      </c>
      <c r="AM6" t="s">
        <v>916</v>
      </c>
      <c r="AN6" t="s">
        <v>142</v>
      </c>
    </row>
    <row r="7" spans="1:40" ht="14.45" customHeight="1">
      <c r="A7" s="88" t="s">
        <v>823</v>
      </c>
      <c r="B7" s="82" t="s">
        <v>25</v>
      </c>
      <c r="C7" s="49" t="s">
        <v>33</v>
      </c>
      <c r="D7" s="49" t="s">
        <v>33</v>
      </c>
      <c r="E7" s="49" t="s">
        <v>33</v>
      </c>
      <c r="F7" s="82" t="s">
        <v>25</v>
      </c>
      <c r="G7" s="49" t="s">
        <v>33</v>
      </c>
      <c r="H7" s="82" t="s">
        <v>25</v>
      </c>
      <c r="I7" s="49" t="s">
        <v>33</v>
      </c>
      <c r="J7" s="49" t="s">
        <v>33</v>
      </c>
      <c r="K7" s="49" t="s">
        <v>33</v>
      </c>
      <c r="L7" s="49" t="s">
        <v>33</v>
      </c>
      <c r="M7" s="82" t="s">
        <v>25</v>
      </c>
      <c r="N7" s="49" t="s">
        <v>33</v>
      </c>
      <c r="O7" s="5" t="s">
        <v>33</v>
      </c>
      <c r="P7" s="82">
        <f t="shared" si="0"/>
        <v>4</v>
      </c>
      <c r="Q7" s="83">
        <f t="shared" si="1"/>
        <v>0.2857142857142857</v>
      </c>
      <c r="R7" s="4" t="s">
        <v>26</v>
      </c>
      <c r="S7" t="s">
        <v>557</v>
      </c>
      <c r="T7" s="82" t="s">
        <v>34</v>
      </c>
      <c r="U7" s="86" t="s">
        <v>29</v>
      </c>
      <c r="V7" s="86" t="s">
        <v>236</v>
      </c>
      <c r="W7" s="56" t="s">
        <v>31</v>
      </c>
      <c r="X7" s="56" t="s">
        <v>31</v>
      </c>
      <c r="Y7" t="s">
        <v>1093</v>
      </c>
      <c r="AD7" t="s">
        <v>950</v>
      </c>
      <c r="AG7" t="s">
        <v>884</v>
      </c>
      <c r="AM7" t="s">
        <v>916</v>
      </c>
      <c r="AN7" t="s">
        <v>236</v>
      </c>
    </row>
    <row r="8" spans="1:40" ht="14.45" customHeight="1">
      <c r="A8" s="81" t="s">
        <v>824</v>
      </c>
      <c r="B8" s="82" t="s">
        <v>25</v>
      </c>
      <c r="C8" s="49" t="s">
        <v>33</v>
      </c>
      <c r="D8" s="82" t="s">
        <v>25</v>
      </c>
      <c r="E8" s="49" t="s">
        <v>33</v>
      </c>
      <c r="F8" s="49" t="s">
        <v>33</v>
      </c>
      <c r="G8" s="82" t="s">
        <v>25</v>
      </c>
      <c r="H8" s="49" t="s">
        <v>33</v>
      </c>
      <c r="I8" s="82" t="s">
        <v>25</v>
      </c>
      <c r="J8" s="49" t="s">
        <v>33</v>
      </c>
      <c r="K8" s="49" t="s">
        <v>33</v>
      </c>
      <c r="L8" s="49" t="s">
        <v>33</v>
      </c>
      <c r="M8" s="49" t="s">
        <v>33</v>
      </c>
      <c r="N8" s="49" t="s">
        <v>33</v>
      </c>
      <c r="O8" s="5" t="s">
        <v>33</v>
      </c>
      <c r="P8" s="82">
        <f t="shared" si="0"/>
        <v>4</v>
      </c>
      <c r="Q8" s="83">
        <f t="shared" si="1"/>
        <v>0.2857142857142857</v>
      </c>
      <c r="R8" s="4" t="s">
        <v>65</v>
      </c>
      <c r="S8" t="s">
        <v>825</v>
      </c>
      <c r="T8" s="74" t="s">
        <v>34</v>
      </c>
      <c r="U8" s="48" t="s">
        <v>29</v>
      </c>
      <c r="V8" s="48" t="s">
        <v>35</v>
      </c>
      <c r="W8" s="48" t="s">
        <v>142</v>
      </c>
      <c r="X8" s="48" t="s">
        <v>143</v>
      </c>
      <c r="Y8" t="s">
        <v>1094</v>
      </c>
      <c r="AA8" t="s">
        <v>895</v>
      </c>
      <c r="AD8" t="s">
        <v>879</v>
      </c>
      <c r="AG8" t="s">
        <v>884</v>
      </c>
      <c r="AM8" t="s">
        <v>916</v>
      </c>
      <c r="AN8" t="s">
        <v>142</v>
      </c>
    </row>
    <row r="9" spans="1:40" ht="14.45" customHeight="1">
      <c r="A9" s="81" t="s">
        <v>826</v>
      </c>
      <c r="B9" s="82" t="s">
        <v>25</v>
      </c>
      <c r="C9" s="49" t="s">
        <v>33</v>
      </c>
      <c r="D9" s="49" t="s">
        <v>33</v>
      </c>
      <c r="E9" s="49" t="s">
        <v>33</v>
      </c>
      <c r="F9" s="49" t="s">
        <v>33</v>
      </c>
      <c r="G9" s="49" t="s">
        <v>33</v>
      </c>
      <c r="H9" s="49" t="s">
        <v>33</v>
      </c>
      <c r="I9" s="82" t="s">
        <v>25</v>
      </c>
      <c r="J9" s="49" t="s">
        <v>33</v>
      </c>
      <c r="K9" s="49" t="s">
        <v>33</v>
      </c>
      <c r="L9" s="49" t="s">
        <v>33</v>
      </c>
      <c r="M9" s="49" t="s">
        <v>33</v>
      </c>
      <c r="N9" s="49" t="s">
        <v>33</v>
      </c>
      <c r="O9" s="5" t="s">
        <v>33</v>
      </c>
      <c r="P9" s="82">
        <f t="shared" si="0"/>
        <v>2</v>
      </c>
      <c r="Q9" s="83">
        <f t="shared" si="1"/>
        <v>0.14285714285714285</v>
      </c>
      <c r="R9" s="4" t="s">
        <v>65</v>
      </c>
      <c r="S9" t="s">
        <v>827</v>
      </c>
      <c r="T9" s="74" t="s">
        <v>34</v>
      </c>
      <c r="U9" s="48" t="s">
        <v>29</v>
      </c>
      <c r="V9" s="48" t="s">
        <v>53</v>
      </c>
      <c r="W9" s="48" t="s">
        <v>828</v>
      </c>
      <c r="X9" s="48" t="s">
        <v>43</v>
      </c>
      <c r="Y9" t="s">
        <v>1095</v>
      </c>
      <c r="AA9" t="s">
        <v>895</v>
      </c>
      <c r="AD9" t="s">
        <v>886</v>
      </c>
      <c r="AG9" t="s">
        <v>884</v>
      </c>
      <c r="AM9" t="s">
        <v>881</v>
      </c>
    </row>
    <row r="10" spans="1:40" ht="14.45" customHeight="1">
      <c r="A10" s="81" t="s">
        <v>829</v>
      </c>
      <c r="B10" s="49" t="s">
        <v>33</v>
      </c>
      <c r="C10" s="49" t="s">
        <v>33</v>
      </c>
      <c r="D10" s="49" t="s">
        <v>33</v>
      </c>
      <c r="E10" s="49" t="s">
        <v>33</v>
      </c>
      <c r="F10" s="82" t="s">
        <v>25</v>
      </c>
      <c r="G10" s="82" t="s">
        <v>25</v>
      </c>
      <c r="H10" s="49" t="s">
        <v>33</v>
      </c>
      <c r="I10" s="49" t="s">
        <v>33</v>
      </c>
      <c r="J10" s="49" t="s">
        <v>33</v>
      </c>
      <c r="K10" s="49" t="s">
        <v>33</v>
      </c>
      <c r="L10" s="49" t="s">
        <v>33</v>
      </c>
      <c r="M10" s="49" t="s">
        <v>33</v>
      </c>
      <c r="N10" s="49" t="s">
        <v>33</v>
      </c>
      <c r="O10" s="5" t="s">
        <v>33</v>
      </c>
      <c r="P10" s="82">
        <f t="shared" si="0"/>
        <v>2</v>
      </c>
      <c r="Q10" s="83">
        <f t="shared" si="1"/>
        <v>0.14285714285714285</v>
      </c>
      <c r="R10" s="4" t="s">
        <v>65</v>
      </c>
      <c r="S10" t="s">
        <v>830</v>
      </c>
      <c r="T10" s="74" t="s">
        <v>34</v>
      </c>
      <c r="U10" s="48" t="s">
        <v>29</v>
      </c>
      <c r="V10" s="48" t="s">
        <v>394</v>
      </c>
      <c r="W10" s="48" t="s">
        <v>85</v>
      </c>
      <c r="X10" s="48" t="s">
        <v>395</v>
      </c>
      <c r="Y10" t="s">
        <v>1096</v>
      </c>
      <c r="AA10" t="s">
        <v>895</v>
      </c>
      <c r="AD10" t="s">
        <v>1012</v>
      </c>
      <c r="AG10" t="s">
        <v>884</v>
      </c>
      <c r="AH10" t="s">
        <v>1013</v>
      </c>
      <c r="AM10" t="s">
        <v>881</v>
      </c>
    </row>
    <row r="11" spans="1:40" ht="14.45" customHeight="1">
      <c r="A11" s="81" t="s">
        <v>831</v>
      </c>
      <c r="B11" s="49" t="s">
        <v>33</v>
      </c>
      <c r="C11" s="49" t="s">
        <v>33</v>
      </c>
      <c r="D11" s="49" t="s">
        <v>33</v>
      </c>
      <c r="E11" s="49" t="s">
        <v>33</v>
      </c>
      <c r="F11" s="82" t="s">
        <v>25</v>
      </c>
      <c r="G11" s="49" t="s">
        <v>33</v>
      </c>
      <c r="H11" s="82" t="s">
        <v>25</v>
      </c>
      <c r="I11" s="49" t="s">
        <v>33</v>
      </c>
      <c r="J11" s="49" t="s">
        <v>33</v>
      </c>
      <c r="K11" s="49" t="s">
        <v>33</v>
      </c>
      <c r="L11" s="49" t="s">
        <v>33</v>
      </c>
      <c r="M11" s="82" t="s">
        <v>25</v>
      </c>
      <c r="N11" s="49" t="s">
        <v>33</v>
      </c>
      <c r="O11" s="5" t="s">
        <v>33</v>
      </c>
      <c r="P11" s="82">
        <f t="shared" si="0"/>
        <v>3</v>
      </c>
      <c r="Q11" s="83">
        <f t="shared" si="1"/>
        <v>0.21428571428571427</v>
      </c>
      <c r="R11" s="4" t="s">
        <v>26</v>
      </c>
      <c r="S11" t="s">
        <v>150</v>
      </c>
      <c r="T11" s="74" t="s">
        <v>34</v>
      </c>
      <c r="U11" s="48" t="s">
        <v>29</v>
      </c>
      <c r="V11" s="48" t="s">
        <v>35</v>
      </c>
      <c r="W11" s="48" t="s">
        <v>142</v>
      </c>
      <c r="X11" s="48" t="s">
        <v>143</v>
      </c>
      <c r="Y11" t="s">
        <v>1097</v>
      </c>
      <c r="AD11" t="s">
        <v>879</v>
      </c>
      <c r="AG11" t="s">
        <v>884</v>
      </c>
      <c r="AM11" t="s">
        <v>916</v>
      </c>
      <c r="AN11" t="s">
        <v>142</v>
      </c>
    </row>
    <row r="12" spans="1:40" ht="14.45" customHeight="1">
      <c r="A12" s="81" t="s">
        <v>832</v>
      </c>
      <c r="B12" s="49" t="s">
        <v>33</v>
      </c>
      <c r="C12" s="49" t="s">
        <v>33</v>
      </c>
      <c r="D12" s="49" t="s">
        <v>33</v>
      </c>
      <c r="E12" s="49" t="s">
        <v>33</v>
      </c>
      <c r="F12" s="82" t="s">
        <v>25</v>
      </c>
      <c r="G12" s="49" t="s">
        <v>33</v>
      </c>
      <c r="H12" s="82" t="s">
        <v>25</v>
      </c>
      <c r="I12" s="49" t="s">
        <v>33</v>
      </c>
      <c r="J12" s="49" t="s">
        <v>33</v>
      </c>
      <c r="K12" s="49" t="s">
        <v>33</v>
      </c>
      <c r="L12" s="49" t="s">
        <v>33</v>
      </c>
      <c r="M12" s="82" t="s">
        <v>25</v>
      </c>
      <c r="N12" s="49" t="s">
        <v>33</v>
      </c>
      <c r="O12" s="5" t="s">
        <v>33</v>
      </c>
      <c r="P12" s="82">
        <f t="shared" si="0"/>
        <v>3</v>
      </c>
      <c r="Q12" s="83">
        <f t="shared" si="1"/>
        <v>0.21428571428571427</v>
      </c>
      <c r="R12" s="4" t="s">
        <v>26</v>
      </c>
      <c r="S12" t="s">
        <v>833</v>
      </c>
      <c r="T12" s="73" t="s">
        <v>34</v>
      </c>
      <c r="U12" s="51" t="s">
        <v>29</v>
      </c>
      <c r="V12" s="51" t="s">
        <v>726</v>
      </c>
      <c r="W12" s="51" t="s">
        <v>727</v>
      </c>
      <c r="X12" s="51" t="s">
        <v>728</v>
      </c>
      <c r="Y12" t="s">
        <v>1098</v>
      </c>
      <c r="AD12" t="s">
        <v>883</v>
      </c>
      <c r="AG12" t="s">
        <v>918</v>
      </c>
      <c r="AM12" t="s">
        <v>881</v>
      </c>
    </row>
    <row r="13" spans="1:40" ht="14.45" customHeight="1">
      <c r="A13" s="81" t="s">
        <v>834</v>
      </c>
      <c r="B13" s="49" t="s">
        <v>33</v>
      </c>
      <c r="C13" s="49" t="s">
        <v>33</v>
      </c>
      <c r="D13" s="49" t="s">
        <v>33</v>
      </c>
      <c r="E13" s="49" t="s">
        <v>33</v>
      </c>
      <c r="F13" s="82" t="s">
        <v>25</v>
      </c>
      <c r="G13" s="49" t="s">
        <v>33</v>
      </c>
      <c r="H13" s="49" t="s">
        <v>33</v>
      </c>
      <c r="I13" s="82" t="s">
        <v>25</v>
      </c>
      <c r="J13" s="49" t="s">
        <v>33</v>
      </c>
      <c r="K13" s="49" t="s">
        <v>33</v>
      </c>
      <c r="L13" s="49" t="s">
        <v>33</v>
      </c>
      <c r="M13" s="82" t="s">
        <v>25</v>
      </c>
      <c r="N13" s="49" t="s">
        <v>33</v>
      </c>
      <c r="O13" s="5" t="s">
        <v>33</v>
      </c>
      <c r="P13" s="82">
        <f t="shared" si="0"/>
        <v>3</v>
      </c>
      <c r="Q13" s="83">
        <f t="shared" si="1"/>
        <v>0.21428571428571427</v>
      </c>
      <c r="R13" s="4" t="s">
        <v>65</v>
      </c>
      <c r="S13" t="s">
        <v>616</v>
      </c>
      <c r="T13" s="74" t="s">
        <v>34</v>
      </c>
      <c r="U13" s="48" t="s">
        <v>29</v>
      </c>
      <c r="V13" s="48" t="s">
        <v>60</v>
      </c>
      <c r="W13" s="48" t="s">
        <v>378</v>
      </c>
      <c r="X13" s="48" t="s">
        <v>379</v>
      </c>
      <c r="Y13" t="s">
        <v>1099</v>
      </c>
      <c r="AA13" t="s">
        <v>895</v>
      </c>
      <c r="AD13" t="s">
        <v>950</v>
      </c>
      <c r="AG13" t="s">
        <v>884</v>
      </c>
      <c r="AM13" t="s">
        <v>881</v>
      </c>
    </row>
    <row r="14" spans="1:40" ht="14.45" customHeight="1">
      <c r="A14" s="81" t="s">
        <v>835</v>
      </c>
      <c r="B14" s="49" t="s">
        <v>33</v>
      </c>
      <c r="C14" s="49" t="s">
        <v>33</v>
      </c>
      <c r="D14" s="49" t="s">
        <v>33</v>
      </c>
      <c r="E14" s="49" t="s">
        <v>33</v>
      </c>
      <c r="F14" s="82" t="s">
        <v>25</v>
      </c>
      <c r="G14" s="49" t="s">
        <v>33</v>
      </c>
      <c r="H14" s="82" t="s">
        <v>25</v>
      </c>
      <c r="I14" s="49" t="s">
        <v>33</v>
      </c>
      <c r="J14" s="49" t="s">
        <v>33</v>
      </c>
      <c r="K14" s="49" t="s">
        <v>33</v>
      </c>
      <c r="L14" s="49" t="s">
        <v>33</v>
      </c>
      <c r="M14" s="82" t="s">
        <v>25</v>
      </c>
      <c r="N14" s="49" t="s">
        <v>33</v>
      </c>
      <c r="O14" s="5" t="s">
        <v>33</v>
      </c>
      <c r="P14" s="82">
        <f t="shared" si="0"/>
        <v>3</v>
      </c>
      <c r="Q14" s="83">
        <f t="shared" si="1"/>
        <v>0.21428571428571427</v>
      </c>
      <c r="R14" s="4" t="s">
        <v>26</v>
      </c>
      <c r="S14" t="s">
        <v>833</v>
      </c>
      <c r="T14" s="73" t="s">
        <v>34</v>
      </c>
      <c r="U14" s="51" t="s">
        <v>29</v>
      </c>
      <c r="V14" s="51" t="s">
        <v>726</v>
      </c>
      <c r="W14" s="51" t="s">
        <v>727</v>
      </c>
      <c r="X14" s="51" t="s">
        <v>728</v>
      </c>
      <c r="Y14" t="s">
        <v>1100</v>
      </c>
      <c r="AD14" t="s">
        <v>883</v>
      </c>
      <c r="AG14" t="s">
        <v>918</v>
      </c>
      <c r="AM14" t="s">
        <v>881</v>
      </c>
    </row>
    <row r="15" spans="1:40" ht="14.45" customHeight="1">
      <c r="A15" s="81"/>
      <c r="B15" s="49"/>
      <c r="C15" s="49"/>
      <c r="D15" s="49"/>
      <c r="E15" s="49"/>
      <c r="F15" s="82"/>
      <c r="G15" s="49"/>
      <c r="H15" s="82"/>
      <c r="I15" s="49"/>
      <c r="J15" s="49"/>
      <c r="K15" s="49"/>
      <c r="L15" s="49"/>
      <c r="M15" s="49"/>
      <c r="N15" s="49"/>
      <c r="O15" s="49"/>
      <c r="P15" s="82"/>
      <c r="Q15" s="83"/>
      <c r="R15" s="4"/>
      <c r="T15" s="73" t="s">
        <v>34</v>
      </c>
      <c r="U15" s="51" t="s">
        <v>29</v>
      </c>
      <c r="V15" s="51" t="s">
        <v>35</v>
      </c>
      <c r="W15" s="51" t="s">
        <v>132</v>
      </c>
      <c r="X15" s="51" t="s">
        <v>133</v>
      </c>
    </row>
    <row r="16" spans="1:40" ht="14.45" customHeight="1">
      <c r="A16" s="81" t="s">
        <v>836</v>
      </c>
      <c r="B16" s="49" t="s">
        <v>33</v>
      </c>
      <c r="C16" s="49" t="s">
        <v>33</v>
      </c>
      <c r="D16" s="49" t="s">
        <v>33</v>
      </c>
      <c r="E16" s="49" t="s">
        <v>33</v>
      </c>
      <c r="F16" s="49" t="s">
        <v>33</v>
      </c>
      <c r="G16" s="49" t="s">
        <v>33</v>
      </c>
      <c r="H16" s="82" t="s">
        <v>25</v>
      </c>
      <c r="I16" s="49" t="s">
        <v>33</v>
      </c>
      <c r="J16" s="49" t="s">
        <v>33</v>
      </c>
      <c r="K16" s="49" t="s">
        <v>33</v>
      </c>
      <c r="L16" s="82" t="s">
        <v>25</v>
      </c>
      <c r="M16" s="82" t="s">
        <v>25</v>
      </c>
      <c r="N16" s="49" t="s">
        <v>33</v>
      </c>
      <c r="O16" s="64" t="s">
        <v>25</v>
      </c>
      <c r="P16" s="82">
        <f>COUNTIF(B16:O16,"✔")</f>
        <v>4</v>
      </c>
      <c r="Q16" s="83">
        <f>P16/14</f>
        <v>0.2857142857142857</v>
      </c>
      <c r="R16" s="4" t="s">
        <v>26</v>
      </c>
      <c r="S16" t="s">
        <v>819</v>
      </c>
      <c r="T16" s="73" t="s">
        <v>34</v>
      </c>
      <c r="U16" s="51" t="s">
        <v>29</v>
      </c>
      <c r="V16" s="51" t="s">
        <v>726</v>
      </c>
      <c r="W16" s="51" t="s">
        <v>727</v>
      </c>
      <c r="X16" s="51" t="s">
        <v>728</v>
      </c>
      <c r="Y16" t="s">
        <v>1101</v>
      </c>
      <c r="AD16" t="s">
        <v>883</v>
      </c>
      <c r="AG16" t="s">
        <v>918</v>
      </c>
      <c r="AM16" t="s">
        <v>881</v>
      </c>
    </row>
    <row r="17" spans="1:40" ht="14.45" customHeight="1">
      <c r="A17" s="81"/>
      <c r="B17" s="49"/>
      <c r="C17" s="49"/>
      <c r="D17" s="49"/>
      <c r="E17" s="49"/>
      <c r="F17" s="49"/>
      <c r="G17" s="49"/>
      <c r="H17" s="82"/>
      <c r="I17" s="49"/>
      <c r="J17" s="49"/>
      <c r="K17" s="49"/>
      <c r="L17" s="82"/>
      <c r="M17" s="49"/>
      <c r="N17" s="49"/>
      <c r="O17" s="49"/>
      <c r="P17" s="82"/>
      <c r="Q17" s="83"/>
      <c r="R17" s="4"/>
      <c r="T17" s="73" t="s">
        <v>34</v>
      </c>
      <c r="U17" s="51" t="s">
        <v>29</v>
      </c>
      <c r="V17" s="51" t="s">
        <v>35</v>
      </c>
      <c r="W17" s="51" t="s">
        <v>132</v>
      </c>
      <c r="X17" s="51" t="s">
        <v>133</v>
      </c>
    </row>
    <row r="18" spans="1:40" ht="14.45" customHeight="1">
      <c r="A18" s="81" t="s">
        <v>837</v>
      </c>
      <c r="B18" s="49" t="s">
        <v>33</v>
      </c>
      <c r="C18" s="49" t="s">
        <v>33</v>
      </c>
      <c r="D18" s="82" t="s">
        <v>25</v>
      </c>
      <c r="E18" s="49" t="s">
        <v>33</v>
      </c>
      <c r="F18" s="49" t="s">
        <v>33</v>
      </c>
      <c r="G18" s="49" t="s">
        <v>33</v>
      </c>
      <c r="H18" s="49" t="s">
        <v>33</v>
      </c>
      <c r="I18" s="49" t="s">
        <v>33</v>
      </c>
      <c r="J18" s="49" t="s">
        <v>33</v>
      </c>
      <c r="K18" s="49" t="s">
        <v>33</v>
      </c>
      <c r="L18" s="49" t="s">
        <v>33</v>
      </c>
      <c r="M18" s="49" t="s">
        <v>33</v>
      </c>
      <c r="N18" s="49" t="s">
        <v>33</v>
      </c>
      <c r="O18" s="5" t="s">
        <v>33</v>
      </c>
      <c r="P18" s="82">
        <f t="shared" ref="P18:P28" si="2">COUNTIF(B18:O18,"✔")</f>
        <v>1</v>
      </c>
      <c r="Q18" s="83">
        <f t="shared" ref="Q18:Q28" si="3">P18/14</f>
        <v>7.1428571428571425E-2</v>
      </c>
      <c r="R18" s="4" t="s">
        <v>65</v>
      </c>
      <c r="S18" t="s">
        <v>145</v>
      </c>
      <c r="T18" s="82" t="s">
        <v>33</v>
      </c>
      <c r="U18" s="82" t="s">
        <v>33</v>
      </c>
      <c r="V18" s="86"/>
      <c r="W18" s="86"/>
      <c r="X18" s="86"/>
      <c r="Y18" t="s">
        <v>1102</v>
      </c>
      <c r="AA18" t="s">
        <v>895</v>
      </c>
      <c r="AM18" t="s">
        <v>895</v>
      </c>
    </row>
    <row r="19" spans="1:40" ht="14.45" customHeight="1">
      <c r="A19" s="81" t="s">
        <v>838</v>
      </c>
      <c r="B19" s="49" t="s">
        <v>33</v>
      </c>
      <c r="C19" s="49" t="s">
        <v>33</v>
      </c>
      <c r="D19" s="49" t="s">
        <v>33</v>
      </c>
      <c r="E19" s="49" t="s">
        <v>33</v>
      </c>
      <c r="F19" s="82" t="s">
        <v>25</v>
      </c>
      <c r="G19" s="49" t="s">
        <v>33</v>
      </c>
      <c r="H19" s="49" t="s">
        <v>33</v>
      </c>
      <c r="I19" s="49" t="s">
        <v>33</v>
      </c>
      <c r="J19" s="49" t="s">
        <v>33</v>
      </c>
      <c r="K19" s="49" t="s">
        <v>33</v>
      </c>
      <c r="L19" s="49" t="s">
        <v>33</v>
      </c>
      <c r="M19" s="49" t="s">
        <v>33</v>
      </c>
      <c r="N19" s="49" t="s">
        <v>33</v>
      </c>
      <c r="O19" s="5" t="s">
        <v>33</v>
      </c>
      <c r="P19" s="82">
        <f t="shared" si="2"/>
        <v>1</v>
      </c>
      <c r="Q19" s="83">
        <f t="shared" si="3"/>
        <v>7.1428571428571425E-2</v>
      </c>
      <c r="R19" s="4" t="s">
        <v>65</v>
      </c>
      <c r="S19" t="s">
        <v>145</v>
      </c>
      <c r="T19" s="82" t="s">
        <v>33</v>
      </c>
      <c r="U19" s="82" t="s">
        <v>33</v>
      </c>
      <c r="V19" s="86"/>
      <c r="W19" s="86"/>
      <c r="X19" s="86"/>
      <c r="Y19" t="s">
        <v>1103</v>
      </c>
      <c r="AA19" t="s">
        <v>895</v>
      </c>
      <c r="AM19" t="s">
        <v>895</v>
      </c>
    </row>
    <row r="20" spans="1:40" ht="14.45" customHeight="1">
      <c r="A20" s="81" t="s">
        <v>839</v>
      </c>
      <c r="B20" s="49" t="s">
        <v>33</v>
      </c>
      <c r="C20" s="49" t="s">
        <v>33</v>
      </c>
      <c r="D20" s="49" t="s">
        <v>33</v>
      </c>
      <c r="E20" s="49" t="s">
        <v>33</v>
      </c>
      <c r="F20" s="82" t="s">
        <v>25</v>
      </c>
      <c r="G20" s="49" t="s">
        <v>33</v>
      </c>
      <c r="H20" s="49" t="s">
        <v>33</v>
      </c>
      <c r="I20" s="49" t="s">
        <v>33</v>
      </c>
      <c r="J20" s="49" t="s">
        <v>33</v>
      </c>
      <c r="K20" s="82" t="s">
        <v>25</v>
      </c>
      <c r="L20" s="49" t="s">
        <v>33</v>
      </c>
      <c r="M20" s="49" t="s">
        <v>33</v>
      </c>
      <c r="N20" s="49" t="s">
        <v>33</v>
      </c>
      <c r="O20" s="5" t="s">
        <v>33</v>
      </c>
      <c r="P20" s="82">
        <f t="shared" si="2"/>
        <v>2</v>
      </c>
      <c r="Q20" s="83">
        <f t="shared" si="3"/>
        <v>0.14285714285714285</v>
      </c>
      <c r="R20" s="4" t="s">
        <v>65</v>
      </c>
      <c r="S20" t="s">
        <v>145</v>
      </c>
      <c r="T20" s="82" t="s">
        <v>33</v>
      </c>
      <c r="U20" s="82" t="s">
        <v>33</v>
      </c>
      <c r="V20" s="86"/>
      <c r="W20" s="86"/>
      <c r="X20" s="86"/>
      <c r="Y20" t="s">
        <v>1104</v>
      </c>
      <c r="AA20" t="s">
        <v>895</v>
      </c>
      <c r="AM20" t="s">
        <v>895</v>
      </c>
    </row>
    <row r="21" spans="1:40" ht="14.45" customHeight="1">
      <c r="A21" s="81" t="s">
        <v>642</v>
      </c>
      <c r="B21" s="49" t="s">
        <v>33</v>
      </c>
      <c r="C21" s="49" t="s">
        <v>33</v>
      </c>
      <c r="D21" s="49" t="s">
        <v>33</v>
      </c>
      <c r="E21" s="49" t="s">
        <v>33</v>
      </c>
      <c r="F21" s="82" t="s">
        <v>25</v>
      </c>
      <c r="G21" s="49" t="s">
        <v>33</v>
      </c>
      <c r="H21" s="49" t="s">
        <v>33</v>
      </c>
      <c r="I21" s="49" t="s">
        <v>33</v>
      </c>
      <c r="J21" s="49" t="s">
        <v>33</v>
      </c>
      <c r="K21" s="49" t="s">
        <v>33</v>
      </c>
      <c r="L21" s="49" t="s">
        <v>33</v>
      </c>
      <c r="M21" s="49" t="s">
        <v>33</v>
      </c>
      <c r="N21" s="49" t="s">
        <v>33</v>
      </c>
      <c r="O21" s="5" t="s">
        <v>33</v>
      </c>
      <c r="P21" s="82">
        <f t="shared" si="2"/>
        <v>1</v>
      </c>
      <c r="Q21" s="83">
        <f t="shared" si="3"/>
        <v>7.1428571428571425E-2</v>
      </c>
      <c r="R21" s="4" t="s">
        <v>65</v>
      </c>
      <c r="S21" t="s">
        <v>840</v>
      </c>
      <c r="T21" s="74" t="s">
        <v>34</v>
      </c>
      <c r="U21" s="48" t="s">
        <v>29</v>
      </c>
      <c r="V21" s="48" t="s">
        <v>394</v>
      </c>
      <c r="W21" s="48" t="s">
        <v>85</v>
      </c>
      <c r="X21" s="48" t="s">
        <v>395</v>
      </c>
      <c r="Y21" t="s">
        <v>1105</v>
      </c>
      <c r="AA21" t="s">
        <v>895</v>
      </c>
      <c r="AD21" t="s">
        <v>1012</v>
      </c>
      <c r="AG21" t="s">
        <v>884</v>
      </c>
      <c r="AH21" t="s">
        <v>1013</v>
      </c>
      <c r="AM21" t="s">
        <v>881</v>
      </c>
    </row>
    <row r="22" spans="1:40" ht="14.45" customHeight="1">
      <c r="A22" s="81" t="s">
        <v>841</v>
      </c>
      <c r="B22" s="49" t="s">
        <v>33</v>
      </c>
      <c r="C22" s="49" t="s">
        <v>33</v>
      </c>
      <c r="D22" s="49" t="s">
        <v>33</v>
      </c>
      <c r="E22" s="49" t="s">
        <v>33</v>
      </c>
      <c r="F22" s="82" t="s">
        <v>25</v>
      </c>
      <c r="G22" s="49" t="s">
        <v>33</v>
      </c>
      <c r="H22" s="49" t="s">
        <v>33</v>
      </c>
      <c r="I22" s="49" t="s">
        <v>33</v>
      </c>
      <c r="J22" s="49" t="s">
        <v>33</v>
      </c>
      <c r="K22" s="49" t="s">
        <v>33</v>
      </c>
      <c r="L22" s="49" t="s">
        <v>33</v>
      </c>
      <c r="M22" s="49" t="s">
        <v>33</v>
      </c>
      <c r="N22" s="49" t="s">
        <v>33</v>
      </c>
      <c r="O22" s="5" t="s">
        <v>33</v>
      </c>
      <c r="P22" s="82">
        <f t="shared" si="2"/>
        <v>1</v>
      </c>
      <c r="Q22" s="83">
        <f t="shared" si="3"/>
        <v>7.1428571428571425E-2</v>
      </c>
      <c r="R22" s="4" t="s">
        <v>65</v>
      </c>
      <c r="S22" t="s">
        <v>145</v>
      </c>
      <c r="T22" s="82" t="s">
        <v>33</v>
      </c>
      <c r="U22" s="82" t="s">
        <v>33</v>
      </c>
      <c r="V22" s="86"/>
      <c r="W22" s="86"/>
      <c r="X22" s="86"/>
      <c r="Y22" t="s">
        <v>1106</v>
      </c>
      <c r="AA22" t="s">
        <v>895</v>
      </c>
      <c r="AM22" t="s">
        <v>895</v>
      </c>
    </row>
    <row r="23" spans="1:40" ht="14.45" customHeight="1">
      <c r="A23" s="81" t="s">
        <v>842</v>
      </c>
      <c r="B23" s="49" t="s">
        <v>33</v>
      </c>
      <c r="C23" s="49" t="s">
        <v>33</v>
      </c>
      <c r="D23" s="49" t="s">
        <v>33</v>
      </c>
      <c r="E23" s="49" t="s">
        <v>33</v>
      </c>
      <c r="F23" s="82" t="s">
        <v>25</v>
      </c>
      <c r="G23" s="49" t="s">
        <v>33</v>
      </c>
      <c r="H23" s="49" t="s">
        <v>33</v>
      </c>
      <c r="I23" s="49" t="s">
        <v>33</v>
      </c>
      <c r="J23" s="49" t="s">
        <v>33</v>
      </c>
      <c r="K23" s="49" t="s">
        <v>33</v>
      </c>
      <c r="L23" s="49" t="s">
        <v>33</v>
      </c>
      <c r="M23" s="49" t="s">
        <v>33</v>
      </c>
      <c r="N23" s="49" t="s">
        <v>33</v>
      </c>
      <c r="O23" s="5" t="s">
        <v>33</v>
      </c>
      <c r="P23" s="82">
        <f t="shared" si="2"/>
        <v>1</v>
      </c>
      <c r="Q23" s="83">
        <f t="shared" si="3"/>
        <v>7.1428571428571425E-2</v>
      </c>
      <c r="R23" s="4" t="s">
        <v>65</v>
      </c>
      <c r="S23" t="s">
        <v>827</v>
      </c>
      <c r="T23" s="74" t="s">
        <v>34</v>
      </c>
      <c r="U23" s="48" t="s">
        <v>29</v>
      </c>
      <c r="V23" s="48" t="s">
        <v>35</v>
      </c>
      <c r="W23" s="48" t="s">
        <v>142</v>
      </c>
      <c r="X23" s="48" t="s">
        <v>143</v>
      </c>
      <c r="Y23" t="s">
        <v>1107</v>
      </c>
      <c r="AA23" t="s">
        <v>895</v>
      </c>
      <c r="AD23" t="s">
        <v>879</v>
      </c>
      <c r="AG23" t="s">
        <v>884</v>
      </c>
      <c r="AM23" t="s">
        <v>916</v>
      </c>
      <c r="AN23" t="s">
        <v>142</v>
      </c>
    </row>
    <row r="24" spans="1:40" ht="14.45" customHeight="1">
      <c r="A24" s="81" t="s">
        <v>843</v>
      </c>
      <c r="B24" s="49" t="s">
        <v>33</v>
      </c>
      <c r="C24" s="49" t="s">
        <v>33</v>
      </c>
      <c r="D24" s="49" t="s">
        <v>33</v>
      </c>
      <c r="E24" s="49" t="s">
        <v>33</v>
      </c>
      <c r="F24" s="82" t="s">
        <v>25</v>
      </c>
      <c r="G24" s="49" t="s">
        <v>33</v>
      </c>
      <c r="H24" s="49" t="s">
        <v>33</v>
      </c>
      <c r="I24" s="49" t="s">
        <v>33</v>
      </c>
      <c r="J24" s="49" t="s">
        <v>33</v>
      </c>
      <c r="K24" s="49" t="s">
        <v>33</v>
      </c>
      <c r="L24" s="49" t="s">
        <v>33</v>
      </c>
      <c r="M24" s="49" t="s">
        <v>33</v>
      </c>
      <c r="N24" s="49" t="s">
        <v>33</v>
      </c>
      <c r="O24" s="5" t="s">
        <v>33</v>
      </c>
      <c r="P24" s="82">
        <f t="shared" si="2"/>
        <v>1</v>
      </c>
      <c r="Q24" s="83">
        <f t="shared" si="3"/>
        <v>7.1428571428571425E-2</v>
      </c>
      <c r="R24" s="4" t="s">
        <v>65</v>
      </c>
      <c r="S24" t="s">
        <v>145</v>
      </c>
      <c r="T24" s="74" t="s">
        <v>34</v>
      </c>
      <c r="U24" s="48" t="s">
        <v>29</v>
      </c>
      <c r="V24" s="48" t="s">
        <v>394</v>
      </c>
      <c r="W24" s="48" t="s">
        <v>85</v>
      </c>
      <c r="X24" s="48" t="s">
        <v>395</v>
      </c>
      <c r="Y24" t="s">
        <v>1108</v>
      </c>
      <c r="AA24" t="s">
        <v>895</v>
      </c>
      <c r="AD24" t="s">
        <v>1012</v>
      </c>
      <c r="AG24" t="s">
        <v>884</v>
      </c>
      <c r="AH24" t="s">
        <v>1013</v>
      </c>
      <c r="AM24" t="s">
        <v>881</v>
      </c>
    </row>
    <row r="25" spans="1:40" ht="14.45" customHeight="1">
      <c r="A25" s="81" t="s">
        <v>844</v>
      </c>
      <c r="B25" s="49" t="s">
        <v>33</v>
      </c>
      <c r="C25" s="49" t="s">
        <v>33</v>
      </c>
      <c r="D25" s="49" t="s">
        <v>33</v>
      </c>
      <c r="E25" s="49" t="s">
        <v>33</v>
      </c>
      <c r="F25" s="82" t="s">
        <v>25</v>
      </c>
      <c r="G25" s="49" t="s">
        <v>33</v>
      </c>
      <c r="H25" s="49" t="s">
        <v>33</v>
      </c>
      <c r="I25" s="49" t="s">
        <v>33</v>
      </c>
      <c r="J25" s="49" t="s">
        <v>33</v>
      </c>
      <c r="K25" s="49" t="s">
        <v>33</v>
      </c>
      <c r="L25" s="49" t="s">
        <v>33</v>
      </c>
      <c r="M25" s="49" t="s">
        <v>33</v>
      </c>
      <c r="N25" s="49" t="s">
        <v>33</v>
      </c>
      <c r="O25" s="5" t="s">
        <v>33</v>
      </c>
      <c r="P25" s="82">
        <f t="shared" si="2"/>
        <v>1</v>
      </c>
      <c r="Q25" s="83">
        <f t="shared" si="3"/>
        <v>7.1428571428571425E-2</v>
      </c>
      <c r="R25" s="4" t="s">
        <v>65</v>
      </c>
      <c r="S25" t="s">
        <v>643</v>
      </c>
      <c r="T25" s="74" t="s">
        <v>34</v>
      </c>
      <c r="U25" s="48" t="s">
        <v>29</v>
      </c>
      <c r="V25" s="48" t="s">
        <v>35</v>
      </c>
      <c r="W25" s="48" t="s">
        <v>142</v>
      </c>
      <c r="X25" s="48" t="s">
        <v>143</v>
      </c>
      <c r="Y25" t="s">
        <v>1109</v>
      </c>
      <c r="AA25" t="s">
        <v>895</v>
      </c>
      <c r="AD25" t="s">
        <v>879</v>
      </c>
      <c r="AG25" t="s">
        <v>884</v>
      </c>
      <c r="AM25" t="s">
        <v>916</v>
      </c>
      <c r="AN25" t="s">
        <v>142</v>
      </c>
    </row>
    <row r="26" spans="1:40" ht="14.45" customHeight="1">
      <c r="A26" s="81" t="s">
        <v>845</v>
      </c>
      <c r="B26" s="49" t="s">
        <v>33</v>
      </c>
      <c r="C26" s="49" t="s">
        <v>33</v>
      </c>
      <c r="D26" s="49" t="s">
        <v>33</v>
      </c>
      <c r="E26" s="49" t="s">
        <v>33</v>
      </c>
      <c r="F26" s="82" t="s">
        <v>25</v>
      </c>
      <c r="G26" s="49" t="s">
        <v>33</v>
      </c>
      <c r="H26" s="49" t="s">
        <v>33</v>
      </c>
      <c r="I26" s="49" t="s">
        <v>33</v>
      </c>
      <c r="J26" s="49" t="s">
        <v>33</v>
      </c>
      <c r="K26" s="49" t="s">
        <v>33</v>
      </c>
      <c r="L26" s="49" t="s">
        <v>33</v>
      </c>
      <c r="M26" s="49" t="s">
        <v>33</v>
      </c>
      <c r="N26" s="49" t="s">
        <v>33</v>
      </c>
      <c r="O26" s="5" t="s">
        <v>33</v>
      </c>
      <c r="P26" s="82">
        <f t="shared" si="2"/>
        <v>1</v>
      </c>
      <c r="Q26" s="83">
        <f t="shared" si="3"/>
        <v>7.1428571428571425E-2</v>
      </c>
      <c r="R26" s="4" t="s">
        <v>65</v>
      </c>
      <c r="S26" t="s">
        <v>643</v>
      </c>
      <c r="T26" s="74" t="s">
        <v>34</v>
      </c>
      <c r="U26" s="48" t="s">
        <v>29</v>
      </c>
      <c r="V26" s="48" t="s">
        <v>60</v>
      </c>
      <c r="W26" s="48" t="s">
        <v>378</v>
      </c>
      <c r="X26" s="48" t="s">
        <v>379</v>
      </c>
      <c r="Y26" t="s">
        <v>1110</v>
      </c>
      <c r="AA26" t="s">
        <v>895</v>
      </c>
      <c r="AD26" t="s">
        <v>950</v>
      </c>
      <c r="AG26" t="s">
        <v>884</v>
      </c>
      <c r="AM26" t="s">
        <v>881</v>
      </c>
    </row>
    <row r="27" spans="1:40" ht="14.45" customHeight="1">
      <c r="A27" s="81" t="s">
        <v>846</v>
      </c>
      <c r="B27" s="49" t="s">
        <v>33</v>
      </c>
      <c r="C27" s="49" t="s">
        <v>33</v>
      </c>
      <c r="D27" s="49" t="s">
        <v>33</v>
      </c>
      <c r="E27" s="49" t="s">
        <v>33</v>
      </c>
      <c r="F27" s="82" t="s">
        <v>25</v>
      </c>
      <c r="G27" s="49" t="s">
        <v>33</v>
      </c>
      <c r="H27" s="49" t="s">
        <v>33</v>
      </c>
      <c r="I27" s="49" t="s">
        <v>33</v>
      </c>
      <c r="J27" s="49" t="s">
        <v>33</v>
      </c>
      <c r="K27" s="49" t="s">
        <v>33</v>
      </c>
      <c r="L27" s="49" t="s">
        <v>33</v>
      </c>
      <c r="M27" s="82" t="s">
        <v>25</v>
      </c>
      <c r="N27" s="49" t="s">
        <v>33</v>
      </c>
      <c r="O27" s="5" t="s">
        <v>33</v>
      </c>
      <c r="P27" s="82">
        <f t="shared" si="2"/>
        <v>2</v>
      </c>
      <c r="Q27" s="83">
        <f t="shared" si="3"/>
        <v>0.14285714285714285</v>
      </c>
      <c r="R27" s="4" t="s">
        <v>26</v>
      </c>
      <c r="S27" t="s">
        <v>150</v>
      </c>
      <c r="T27" s="73" t="s">
        <v>34</v>
      </c>
      <c r="U27" s="51" t="s">
        <v>40</v>
      </c>
      <c r="V27" s="51" t="s">
        <v>41</v>
      </c>
      <c r="W27" s="51" t="s">
        <v>151</v>
      </c>
      <c r="X27" s="51" t="s">
        <v>152</v>
      </c>
      <c r="Y27" t="s">
        <v>1111</v>
      </c>
      <c r="AD27" t="s">
        <v>920</v>
      </c>
      <c r="AG27" t="s">
        <v>880</v>
      </c>
      <c r="AM27" t="s">
        <v>881</v>
      </c>
    </row>
    <row r="28" spans="1:40" ht="14.45" customHeight="1">
      <c r="A28" s="81" t="s">
        <v>847</v>
      </c>
      <c r="B28" s="49" t="s">
        <v>33</v>
      </c>
      <c r="C28" s="49" t="s">
        <v>33</v>
      </c>
      <c r="D28" s="49" t="s">
        <v>33</v>
      </c>
      <c r="E28" s="49" t="s">
        <v>33</v>
      </c>
      <c r="F28" s="49" t="s">
        <v>33</v>
      </c>
      <c r="G28" s="49" t="s">
        <v>33</v>
      </c>
      <c r="H28" s="82" t="s">
        <v>25</v>
      </c>
      <c r="I28" s="49" t="s">
        <v>33</v>
      </c>
      <c r="J28" s="49" t="s">
        <v>33</v>
      </c>
      <c r="K28" s="49" t="s">
        <v>33</v>
      </c>
      <c r="L28" s="49" t="s">
        <v>33</v>
      </c>
      <c r="M28" s="82" t="s">
        <v>25</v>
      </c>
      <c r="N28" s="49" t="s">
        <v>33</v>
      </c>
      <c r="O28" s="5" t="s">
        <v>33</v>
      </c>
      <c r="P28" s="82">
        <f t="shared" si="2"/>
        <v>2</v>
      </c>
      <c r="Q28" s="83">
        <f t="shared" si="3"/>
        <v>0.14285714285714285</v>
      </c>
      <c r="R28" s="4" t="s">
        <v>26</v>
      </c>
      <c r="S28" t="s">
        <v>833</v>
      </c>
      <c r="T28" s="73" t="s">
        <v>34</v>
      </c>
      <c r="U28" s="51" t="s">
        <v>29</v>
      </c>
      <c r="V28" s="51" t="s">
        <v>726</v>
      </c>
      <c r="W28" s="51" t="s">
        <v>727</v>
      </c>
      <c r="X28" s="51" t="s">
        <v>728</v>
      </c>
      <c r="Y28" t="s">
        <v>1112</v>
      </c>
      <c r="AD28" t="s">
        <v>883</v>
      </c>
      <c r="AG28" t="s">
        <v>918</v>
      </c>
      <c r="AM28" t="s">
        <v>881</v>
      </c>
    </row>
    <row r="29" spans="1:40" ht="14.45" customHeight="1">
      <c r="A29" s="81"/>
      <c r="B29" s="49"/>
      <c r="C29" s="49"/>
      <c r="D29" s="49"/>
      <c r="E29" s="49"/>
      <c r="F29" s="82"/>
      <c r="G29" s="49"/>
      <c r="H29" s="49"/>
      <c r="I29" s="49"/>
      <c r="J29" s="49"/>
      <c r="K29" s="49"/>
      <c r="L29" s="49"/>
      <c r="M29" s="49"/>
      <c r="N29" s="49"/>
      <c r="O29" s="49"/>
      <c r="P29" s="82"/>
      <c r="Q29" s="83"/>
      <c r="R29" s="4"/>
      <c r="T29" s="73" t="s">
        <v>34</v>
      </c>
      <c r="U29" s="51" t="s">
        <v>29</v>
      </c>
      <c r="V29" s="51" t="s">
        <v>35</v>
      </c>
      <c r="W29" s="51" t="s">
        <v>132</v>
      </c>
      <c r="X29" s="51" t="s">
        <v>133</v>
      </c>
    </row>
    <row r="30" spans="1:40" ht="14.45" customHeight="1">
      <c r="A30" s="81" t="s">
        <v>848</v>
      </c>
      <c r="B30" s="49" t="s">
        <v>33</v>
      </c>
      <c r="C30" s="49" t="s">
        <v>33</v>
      </c>
      <c r="D30" s="49" t="s">
        <v>33</v>
      </c>
      <c r="E30" s="49" t="s">
        <v>33</v>
      </c>
      <c r="F30" s="49" t="s">
        <v>33</v>
      </c>
      <c r="G30" s="49" t="s">
        <v>33</v>
      </c>
      <c r="H30" s="82" t="s">
        <v>25</v>
      </c>
      <c r="I30" s="49" t="s">
        <v>33</v>
      </c>
      <c r="J30" s="49" t="s">
        <v>33</v>
      </c>
      <c r="K30" s="49" t="s">
        <v>33</v>
      </c>
      <c r="L30" s="49" t="s">
        <v>33</v>
      </c>
      <c r="M30" s="49" t="s">
        <v>33</v>
      </c>
      <c r="N30" s="49" t="s">
        <v>33</v>
      </c>
      <c r="O30" s="5" t="s">
        <v>33</v>
      </c>
      <c r="P30" s="82">
        <f>COUNTIF(B30:O30,"✔")</f>
        <v>1</v>
      </c>
      <c r="Q30" s="83">
        <f>P30/14</f>
        <v>7.1428571428571425E-2</v>
      </c>
      <c r="R30" s="4" t="s">
        <v>65</v>
      </c>
      <c r="S30" t="s">
        <v>145</v>
      </c>
      <c r="T30" s="73" t="s">
        <v>34</v>
      </c>
      <c r="U30" s="51" t="s">
        <v>29</v>
      </c>
      <c r="V30" s="51" t="s">
        <v>726</v>
      </c>
      <c r="W30" s="51" t="s">
        <v>727</v>
      </c>
      <c r="X30" s="51" t="s">
        <v>728</v>
      </c>
      <c r="Y30" t="s">
        <v>1113</v>
      </c>
      <c r="AA30" t="s">
        <v>895</v>
      </c>
      <c r="AD30" t="s">
        <v>883</v>
      </c>
      <c r="AG30" t="s">
        <v>918</v>
      </c>
      <c r="AM30" t="s">
        <v>881</v>
      </c>
    </row>
    <row r="31" spans="1:40" ht="14.45" customHeight="1">
      <c r="A31" s="81"/>
      <c r="B31" s="49"/>
      <c r="C31" s="49"/>
      <c r="D31" s="49"/>
      <c r="E31" s="49"/>
      <c r="F31" s="49"/>
      <c r="G31" s="49"/>
      <c r="H31" s="82"/>
      <c r="I31" s="49"/>
      <c r="J31" s="49"/>
      <c r="K31" s="49"/>
      <c r="L31" s="49"/>
      <c r="M31" s="49"/>
      <c r="N31" s="49"/>
      <c r="O31" s="49"/>
      <c r="P31" s="82"/>
      <c r="Q31" s="83"/>
      <c r="R31" s="4"/>
      <c r="T31" s="73" t="s">
        <v>34</v>
      </c>
      <c r="U31" s="51" t="s">
        <v>29</v>
      </c>
      <c r="V31" s="51" t="s">
        <v>35</v>
      </c>
      <c r="W31" s="51" t="s">
        <v>132</v>
      </c>
      <c r="X31" s="51" t="s">
        <v>133</v>
      </c>
    </row>
    <row r="32" spans="1:40" ht="14.45" customHeight="1">
      <c r="A32" s="81" t="s">
        <v>849</v>
      </c>
      <c r="B32" s="49" t="s">
        <v>33</v>
      </c>
      <c r="C32" s="49" t="s">
        <v>33</v>
      </c>
      <c r="D32" s="49" t="s">
        <v>33</v>
      </c>
      <c r="E32" s="49" t="s">
        <v>33</v>
      </c>
      <c r="F32" s="49" t="s">
        <v>33</v>
      </c>
      <c r="G32" s="49" t="s">
        <v>33</v>
      </c>
      <c r="H32" s="49" t="s">
        <v>33</v>
      </c>
      <c r="I32" s="49" t="s">
        <v>33</v>
      </c>
      <c r="J32" s="82" t="s">
        <v>25</v>
      </c>
      <c r="K32" s="49" t="s">
        <v>33</v>
      </c>
      <c r="L32" s="49" t="s">
        <v>33</v>
      </c>
      <c r="M32" s="49" t="s">
        <v>33</v>
      </c>
      <c r="N32" s="49" t="s">
        <v>33</v>
      </c>
      <c r="O32" s="5" t="s">
        <v>33</v>
      </c>
      <c r="P32" s="82">
        <f>COUNTIF(B32:O32,"✔")</f>
        <v>1</v>
      </c>
      <c r="Q32" s="83">
        <f>P32/14</f>
        <v>7.1428571428571425E-2</v>
      </c>
      <c r="R32" s="4" t="s">
        <v>26</v>
      </c>
      <c r="S32" t="s">
        <v>850</v>
      </c>
      <c r="T32" s="74" t="s">
        <v>34</v>
      </c>
      <c r="U32" s="48" t="s">
        <v>29</v>
      </c>
      <c r="V32" s="48" t="s">
        <v>60</v>
      </c>
      <c r="W32" s="48" t="s">
        <v>378</v>
      </c>
      <c r="X32" s="48" t="s">
        <v>379</v>
      </c>
      <c r="Y32" t="s">
        <v>1114</v>
      </c>
      <c r="AD32" t="s">
        <v>950</v>
      </c>
      <c r="AG32" t="s">
        <v>884</v>
      </c>
      <c r="AM32" t="s">
        <v>881</v>
      </c>
    </row>
  </sheetData>
  <dataValidations count="7">
    <dataValidation type="list" allowBlank="1" showInputMessage="1" sqref="AA2:AA32" xr:uid="{0B9ABC75-E181-4488-AE86-D72D2792BA58}">
      <mc:AlternateContent xmlns:x12ac="http://schemas.microsoft.com/office/spreadsheetml/2011/1/ac" xmlns:mc="http://schemas.openxmlformats.org/markup-compatibility/2006">
        <mc:Choice Requires="x12ac">
          <x12ac:list>"Mandatory,Optional,Out of scope,N/A"</x12ac:list>
        </mc:Choice>
        <mc:Fallback>
          <formula1>"Mandatory,Optional,Out of scope,N/A"</formula1>
        </mc:Fallback>
      </mc:AlternateContent>
    </dataValidation>
    <dataValidation type="list" allowBlank="1" showInputMessage="1" sqref="AD2:AD32" xr:uid="{2DDF51DF-3B99-4269-97B7-143724D4FE44}">
      <mc:AlternateContent xmlns:x12ac="http://schemas.microsoft.com/office/spreadsheetml/2011/1/ac" xmlns:mc="http://schemas.openxmlformats.org/markup-compatibility/2006">
        <mc:Choice Requires="x12ac">
          <x12ac:list>"numeric,categorical,boolean,date,text,document,geometry,time series,reference,composite"</x12ac:list>
        </mc:Choice>
        <mc:Fallback>
          <formula1>"numeric,categorical,boolean,date,text,document,geometry,time series,reference,composite"</formula1>
        </mc:Fallback>
      </mc:AlternateContent>
    </dataValidation>
    <dataValidation type="list" allowBlank="1" showInputMessage="1" sqref="AG2:AG32" xr:uid="{A6E0B18C-9646-425E-A01D-F26219B0C197}">
      <mc:AlternateContent xmlns:x12ac="http://schemas.microsoft.com/office/spreadsheetml/2011/1/ac" xmlns:mc="http://schemas.openxmlformats.org/markup-compatibility/2006">
        <mc:Choice Requires="x12ac">
          <x12ac:list>"building,unit,zone,component,site / context,any level"</x12ac:list>
        </mc:Choice>
        <mc:Fallback>
          <formula1>"building,unit,zone,component,site / context,any level"</formula1>
        </mc:Fallback>
      </mc:AlternateContent>
    </dataValidation>
    <dataValidation type="list" allowBlank="1" showInputMessage="1" sqref="AH2:AH32" xr:uid="{A1ED4CA9-4765-4F0E-AADA-F59236D9F0B1}">
      <mc:AlternateContent xmlns:x12ac="http://schemas.microsoft.com/office/spreadsheetml/2011/1/ac" xmlns:mc="http://schemas.openxmlformats.org/markup-compatibility/2006">
        <mc:Choice Requires="x12ac">
          <x12ac:list>"static,historical,periodic,real-time"</x12ac:list>
        </mc:Choice>
        <mc:Fallback>
          <formula1>"static,historical,periodic,real-time"</formula1>
        </mc:Fallback>
      </mc:AlternateContent>
    </dataValidation>
    <dataValidation type="list" allowBlank="1" showInputMessage="1" sqref="AI2:AI32" xr:uid="{3A913A84-EC94-4DAE-BBA1-73C9A62E86D6}">
      <mc:AlternateContent xmlns:x12ac="http://schemas.microsoft.com/office/spreadsheetml/2011/1/ac" xmlns:mc="http://schemas.openxmlformats.org/markup-compatibility/2006">
        <mc:Choice Requires="x12ac">
          <x12ac:list>"Public,Restricted,Personal data (GDPR),Commercially sensitive"</x12ac:list>
        </mc:Choice>
        <mc:Fallback>
          <formula1>"Public,Restricted,Personal data (GDPR),Commercially sensitive"</formula1>
        </mc:Fallback>
      </mc:AlternateContent>
    </dataValidation>
    <dataValidation type="list" allowBlank="1" showInputMessage="1" sqref="AL2:AL32" xr:uid="{4DA31567-D93E-47EA-A488-1B8F4F807A0B}">
      <mc:AlternateContent xmlns:x12ac="http://schemas.microsoft.com/office/spreadsheetml/2011/1/ac" xmlns:mc="http://schemas.openxmlformats.org/markup-compatibility/2006">
        <mc:Choice Requires="x12ac">
          <x12ac:list>"open data,API,manual input,inspection,derived"</x12ac:list>
        </mc:Choice>
        <mc:Fallback>
          <formula1>"open data,API,manual input,inspection,derived"</formula1>
        </mc:Fallback>
      </mc:AlternateContent>
    </dataValidation>
    <dataValidation type="list" allowBlank="1" showInputMessage="1" sqref="AM2:AM32" xr:uid="{A13D825C-0358-4D6B-A546-CA24ADDCC36F}">
      <mc:AlternateContent xmlns:x12ac="http://schemas.microsoft.com/office/spreadsheetml/2011/1/ac" xmlns:mc="http://schemas.openxmlformats.org/markup-compatibility/2006">
        <mc:Choice Requires="x12ac">
          <x12ac:list>"Native,Workaround,Extension needed,Out of scope,N/A"</x12ac:list>
        </mc:Choice>
        <mc:Fallback>
          <formula1>"Native,Workaround,Extension needed,Out of scope,N/A"</formula1>
        </mc:Fallback>
      </mc:AlternateContent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1:AN31"/>
  <sheetViews>
    <sheetView zoomScale="88" zoomScaleNormal="70"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="U10" sqref="U10"/>
    </sheetView>
  </sheetViews>
  <sheetFormatPr defaultRowHeight="15"/>
  <cols>
    <col min="1" max="1" width="50.7109375" customWidth="1"/>
    <col min="2" max="18" width="13.7109375" customWidth="1"/>
    <col min="19" max="22" width="20.7109375" customWidth="1"/>
    <col min="25" max="40" width="16.7109375" customWidth="1"/>
  </cols>
  <sheetData>
    <row r="1" spans="1:40" ht="75" customHeight="1">
      <c r="A1" s="76" t="s">
        <v>852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67" t="s">
        <v>17</v>
      </c>
      <c r="S1" s="67" t="s">
        <v>18</v>
      </c>
      <c r="T1" s="78" t="s">
        <v>19</v>
      </c>
      <c r="U1" s="78" t="s">
        <v>20</v>
      </c>
      <c r="V1" s="77" t="s">
        <v>21</v>
      </c>
      <c r="W1" s="77" t="s">
        <v>22</v>
      </c>
      <c r="X1" s="77" t="s">
        <v>23</v>
      </c>
      <c r="Y1" s="77" t="s">
        <v>862</v>
      </c>
      <c r="Z1" s="77" t="s">
        <v>863</v>
      </c>
      <c r="AA1" s="77" t="s">
        <v>864</v>
      </c>
      <c r="AB1" s="77" t="s">
        <v>865</v>
      </c>
      <c r="AC1" s="77" t="s">
        <v>866</v>
      </c>
      <c r="AD1" s="77" t="s">
        <v>867</v>
      </c>
      <c r="AE1" s="77" t="s">
        <v>868</v>
      </c>
      <c r="AF1" s="77" t="s">
        <v>869</v>
      </c>
      <c r="AG1" s="77" t="s">
        <v>870</v>
      </c>
      <c r="AH1" s="77" t="s">
        <v>871</v>
      </c>
      <c r="AI1" s="77" t="s">
        <v>872</v>
      </c>
      <c r="AJ1" s="77" t="s">
        <v>873</v>
      </c>
      <c r="AK1" s="77" t="s">
        <v>874</v>
      </c>
      <c r="AL1" s="77" t="s">
        <v>875</v>
      </c>
      <c r="AM1" s="77" t="s">
        <v>876</v>
      </c>
      <c r="AN1" s="77" t="s">
        <v>877</v>
      </c>
    </row>
    <row r="2" spans="1:40" ht="14.45" customHeight="1">
      <c r="A2" s="57" t="s">
        <v>560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65"/>
      <c r="S2" s="66"/>
      <c r="T2" s="79"/>
      <c r="U2" s="79"/>
      <c r="V2" s="79"/>
      <c r="W2" s="79"/>
      <c r="X2" s="79"/>
    </row>
    <row r="3" spans="1:40" ht="14.45" customHeight="1">
      <c r="A3" s="81" t="s">
        <v>561</v>
      </c>
      <c r="B3" s="82" t="s">
        <v>25</v>
      </c>
      <c r="C3" s="82" t="s">
        <v>25</v>
      </c>
      <c r="D3" s="82" t="s">
        <v>25</v>
      </c>
      <c r="E3" s="82" t="s">
        <v>25</v>
      </c>
      <c r="F3" s="82" t="s">
        <v>25</v>
      </c>
      <c r="G3" s="82" t="s">
        <v>25</v>
      </c>
      <c r="H3" s="82" t="s">
        <v>25</v>
      </c>
      <c r="I3" s="82" t="s">
        <v>25</v>
      </c>
      <c r="J3" s="82" t="s">
        <v>25</v>
      </c>
      <c r="K3" s="82" t="s">
        <v>25</v>
      </c>
      <c r="L3" s="82" t="s">
        <v>25</v>
      </c>
      <c r="M3" s="82" t="s">
        <v>25</v>
      </c>
      <c r="N3" s="82" t="s">
        <v>25</v>
      </c>
      <c r="O3" s="64" t="s">
        <v>25</v>
      </c>
      <c r="P3" s="82">
        <f>COUNTIF(B3:O3,"✔")</f>
        <v>14</v>
      </c>
      <c r="Q3" s="83">
        <f>P3/14</f>
        <v>1</v>
      </c>
      <c r="R3" s="4" t="s">
        <v>26</v>
      </c>
      <c r="S3" t="s">
        <v>562</v>
      </c>
      <c r="T3" s="50" t="s">
        <v>34</v>
      </c>
      <c r="U3" s="50" t="s">
        <v>40</v>
      </c>
      <c r="V3" s="50" t="s">
        <v>563</v>
      </c>
      <c r="W3" s="50" t="s">
        <v>564</v>
      </c>
      <c r="X3" s="50" t="s">
        <v>565</v>
      </c>
      <c r="Y3" t="s">
        <v>1115</v>
      </c>
      <c r="AD3" t="s">
        <v>886</v>
      </c>
      <c r="AG3" t="s">
        <v>880</v>
      </c>
      <c r="AM3" t="s">
        <v>881</v>
      </c>
    </row>
    <row r="4" spans="1:40" ht="14.45" customHeight="1">
      <c r="A4" s="81" t="s">
        <v>566</v>
      </c>
      <c r="B4" s="82" t="s">
        <v>25</v>
      </c>
      <c r="C4" s="82" t="s">
        <v>25</v>
      </c>
      <c r="D4" s="82" t="s">
        <v>25</v>
      </c>
      <c r="E4" s="82" t="s">
        <v>25</v>
      </c>
      <c r="F4" s="82" t="s">
        <v>25</v>
      </c>
      <c r="G4" s="82" t="s">
        <v>25</v>
      </c>
      <c r="H4" s="49" t="s">
        <v>33</v>
      </c>
      <c r="I4" s="82" t="s">
        <v>25</v>
      </c>
      <c r="J4" s="82" t="s">
        <v>25</v>
      </c>
      <c r="K4" s="82" t="s">
        <v>25</v>
      </c>
      <c r="L4" s="49" t="s">
        <v>33</v>
      </c>
      <c r="M4" s="82" t="s">
        <v>25</v>
      </c>
      <c r="N4" s="82" t="s">
        <v>25</v>
      </c>
      <c r="O4" s="5" t="s">
        <v>33</v>
      </c>
      <c r="P4" s="82">
        <f>COUNTIF(B4:O4,"✔")</f>
        <v>11</v>
      </c>
      <c r="Q4" s="83">
        <f>P4/14</f>
        <v>0.7857142857142857</v>
      </c>
      <c r="R4" s="4" t="s">
        <v>26</v>
      </c>
      <c r="S4" t="s">
        <v>562</v>
      </c>
      <c r="T4" s="50" t="s">
        <v>34</v>
      </c>
      <c r="U4" s="50" t="s">
        <v>40</v>
      </c>
      <c r="V4" s="50" t="s">
        <v>563</v>
      </c>
      <c r="W4" s="50" t="s">
        <v>567</v>
      </c>
      <c r="X4" s="50" t="s">
        <v>192</v>
      </c>
      <c r="Y4" t="s">
        <v>1116</v>
      </c>
      <c r="AD4" t="s">
        <v>899</v>
      </c>
      <c r="AG4" t="s">
        <v>880</v>
      </c>
      <c r="AM4" t="s">
        <v>881</v>
      </c>
    </row>
    <row r="5" spans="1:40" ht="14.45" customHeight="1">
      <c r="A5" s="81" t="s">
        <v>568</v>
      </c>
      <c r="B5" s="82" t="s">
        <v>25</v>
      </c>
      <c r="C5" s="82" t="s">
        <v>25</v>
      </c>
      <c r="D5" s="82" t="s">
        <v>25</v>
      </c>
      <c r="E5" s="82" t="s">
        <v>25</v>
      </c>
      <c r="F5" s="82" t="s">
        <v>25</v>
      </c>
      <c r="G5" s="82" t="s">
        <v>25</v>
      </c>
      <c r="H5" s="82" t="s">
        <v>25</v>
      </c>
      <c r="I5" s="49" t="s">
        <v>33</v>
      </c>
      <c r="J5" s="82" t="s">
        <v>25</v>
      </c>
      <c r="K5" s="82" t="s">
        <v>25</v>
      </c>
      <c r="L5" s="82" t="s">
        <v>25</v>
      </c>
      <c r="M5" s="82" t="s">
        <v>25</v>
      </c>
      <c r="N5" s="82" t="s">
        <v>25</v>
      </c>
      <c r="O5" s="5" t="s">
        <v>33</v>
      </c>
      <c r="P5" s="82">
        <f>COUNTIF(B5:O5,"✔")</f>
        <v>12</v>
      </c>
      <c r="Q5" s="83">
        <f>P5/14</f>
        <v>0.8571428571428571</v>
      </c>
      <c r="R5" s="4" t="s">
        <v>26</v>
      </c>
      <c r="S5" t="s">
        <v>562</v>
      </c>
      <c r="T5" s="50" t="s">
        <v>34</v>
      </c>
      <c r="U5" s="61" t="s">
        <v>40</v>
      </c>
      <c r="V5" s="61" t="s">
        <v>563</v>
      </c>
      <c r="W5" s="61" t="s">
        <v>132</v>
      </c>
      <c r="X5" s="61" t="s">
        <v>569</v>
      </c>
      <c r="Y5" t="s">
        <v>1117</v>
      </c>
      <c r="AD5" t="s">
        <v>883</v>
      </c>
      <c r="AG5" t="s">
        <v>880</v>
      </c>
      <c r="AM5" t="s">
        <v>881</v>
      </c>
    </row>
    <row r="6" spans="1:40" ht="14.45" customHeight="1">
      <c r="A6" s="81"/>
      <c r="B6" s="82"/>
      <c r="C6" s="82"/>
      <c r="D6" s="82"/>
      <c r="E6" s="82"/>
      <c r="F6" s="82"/>
      <c r="G6" s="82"/>
      <c r="H6" s="82"/>
      <c r="I6" s="49"/>
      <c r="J6" s="82"/>
      <c r="K6" s="82"/>
      <c r="L6" s="82"/>
      <c r="M6" s="82"/>
      <c r="N6" s="82"/>
      <c r="O6" s="82"/>
      <c r="P6" s="82"/>
      <c r="Q6" s="83"/>
      <c r="R6" s="4"/>
      <c r="T6" s="50" t="s">
        <v>34</v>
      </c>
      <c r="U6" s="50" t="s">
        <v>40</v>
      </c>
      <c r="V6" s="50" t="s">
        <v>563</v>
      </c>
      <c r="W6" s="50" t="s">
        <v>570</v>
      </c>
      <c r="X6" s="50" t="s">
        <v>43</v>
      </c>
    </row>
    <row r="7" spans="1:40" ht="14.45" customHeight="1">
      <c r="A7" s="81" t="s">
        <v>571</v>
      </c>
      <c r="B7" s="82" t="s">
        <v>25</v>
      </c>
      <c r="C7" s="82" t="s">
        <v>25</v>
      </c>
      <c r="D7" s="82" t="s">
        <v>25</v>
      </c>
      <c r="E7" s="49" t="s">
        <v>33</v>
      </c>
      <c r="F7" s="82" t="s">
        <v>25</v>
      </c>
      <c r="G7" s="82" t="s">
        <v>25</v>
      </c>
      <c r="H7" s="49" t="s">
        <v>33</v>
      </c>
      <c r="I7" s="49" t="s">
        <v>33</v>
      </c>
      <c r="J7" s="82" t="s">
        <v>25</v>
      </c>
      <c r="K7" s="82" t="s">
        <v>25</v>
      </c>
      <c r="L7" s="49" t="s">
        <v>33</v>
      </c>
      <c r="M7" s="82" t="s">
        <v>25</v>
      </c>
      <c r="N7" s="82" t="s">
        <v>25</v>
      </c>
      <c r="O7" s="5" t="s">
        <v>33</v>
      </c>
      <c r="P7" s="82">
        <f>COUNTIF(B7:O7,"✔")</f>
        <v>9</v>
      </c>
      <c r="Q7" s="83">
        <f>P7/14</f>
        <v>0.6428571428571429</v>
      </c>
      <c r="R7" s="4" t="s">
        <v>26</v>
      </c>
      <c r="S7" t="s">
        <v>81</v>
      </c>
      <c r="T7" s="50" t="s">
        <v>34</v>
      </c>
      <c r="U7" s="50" t="s">
        <v>29</v>
      </c>
      <c r="V7" s="50" t="s">
        <v>82</v>
      </c>
      <c r="W7" s="50" t="s">
        <v>85</v>
      </c>
      <c r="X7" s="50" t="s">
        <v>86</v>
      </c>
      <c r="Y7" t="s">
        <v>1118</v>
      </c>
      <c r="AD7" t="s">
        <v>883</v>
      </c>
      <c r="AG7" t="s">
        <v>884</v>
      </c>
      <c r="AH7" t="s">
        <v>901</v>
      </c>
      <c r="AM7" t="s">
        <v>881</v>
      </c>
    </row>
    <row r="8" spans="1:40" ht="14.45" customHeight="1">
      <c r="A8" s="81" t="s">
        <v>572</v>
      </c>
      <c r="B8" s="82" t="s">
        <v>25</v>
      </c>
      <c r="C8" s="49" t="s">
        <v>33</v>
      </c>
      <c r="D8" s="82" t="s">
        <v>25</v>
      </c>
      <c r="E8" s="82" t="s">
        <v>25</v>
      </c>
      <c r="F8" s="82" t="s">
        <v>25</v>
      </c>
      <c r="G8" s="82" t="s">
        <v>25</v>
      </c>
      <c r="H8" s="49" t="s">
        <v>33</v>
      </c>
      <c r="I8" s="49" t="s">
        <v>33</v>
      </c>
      <c r="J8" s="49" t="s">
        <v>33</v>
      </c>
      <c r="K8" s="49" t="s">
        <v>33</v>
      </c>
      <c r="L8" s="82" t="s">
        <v>25</v>
      </c>
      <c r="M8" s="82" t="s">
        <v>25</v>
      </c>
      <c r="N8" s="49" t="s">
        <v>33</v>
      </c>
      <c r="O8" s="5" t="s">
        <v>33</v>
      </c>
      <c r="P8" s="82">
        <f>COUNTIF(B8:O8,"✔")</f>
        <v>7</v>
      </c>
      <c r="Q8" s="83">
        <f>P8/14</f>
        <v>0.5</v>
      </c>
      <c r="R8" s="4" t="s">
        <v>26</v>
      </c>
      <c r="S8" t="s">
        <v>403</v>
      </c>
      <c r="T8" s="50" t="s">
        <v>34</v>
      </c>
      <c r="U8" s="50" t="s">
        <v>29</v>
      </c>
      <c r="V8" s="50" t="s">
        <v>60</v>
      </c>
      <c r="W8" s="50" t="s">
        <v>378</v>
      </c>
      <c r="X8" s="50" t="s">
        <v>379</v>
      </c>
      <c r="Y8" t="s">
        <v>1119</v>
      </c>
      <c r="AD8" t="s">
        <v>950</v>
      </c>
      <c r="AG8" t="s">
        <v>884</v>
      </c>
      <c r="AM8" t="s">
        <v>881</v>
      </c>
    </row>
    <row r="9" spans="1:40" ht="14.45" customHeight="1">
      <c r="A9" s="57" t="s">
        <v>573</v>
      </c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5"/>
      <c r="R9" s="65"/>
      <c r="S9" s="66"/>
      <c r="T9" s="79"/>
      <c r="U9" s="79"/>
      <c r="V9" s="79"/>
      <c r="W9" s="79"/>
      <c r="X9" s="79"/>
    </row>
    <row r="10" spans="1:40" ht="14.45" customHeight="1">
      <c r="A10" s="81" t="s">
        <v>574</v>
      </c>
      <c r="B10" s="82" t="s">
        <v>25</v>
      </c>
      <c r="C10" s="82" t="s">
        <v>25</v>
      </c>
      <c r="D10" s="82" t="s">
        <v>25</v>
      </c>
      <c r="E10" s="82" t="s">
        <v>25</v>
      </c>
      <c r="F10" s="82" t="s">
        <v>25</v>
      </c>
      <c r="G10" s="82" t="s">
        <v>25</v>
      </c>
      <c r="H10" s="49" t="s">
        <v>33</v>
      </c>
      <c r="I10" s="49" t="s">
        <v>33</v>
      </c>
      <c r="J10" s="82" t="s">
        <v>25</v>
      </c>
      <c r="K10" s="82" t="s">
        <v>25</v>
      </c>
      <c r="L10" s="49" t="s">
        <v>33</v>
      </c>
      <c r="M10" s="49" t="s">
        <v>33</v>
      </c>
      <c r="N10" s="82" t="s">
        <v>25</v>
      </c>
      <c r="O10" s="5" t="s">
        <v>33</v>
      </c>
      <c r="P10" s="82">
        <f>COUNTIF(B10:O10,"✔")</f>
        <v>9</v>
      </c>
      <c r="Q10" s="83">
        <f>P10/14</f>
        <v>0.6428571428571429</v>
      </c>
      <c r="R10" s="4" t="s">
        <v>26</v>
      </c>
      <c r="S10" t="s">
        <v>351</v>
      </c>
      <c r="T10" s="50" t="s">
        <v>34</v>
      </c>
      <c r="U10" s="50" t="s">
        <v>312</v>
      </c>
      <c r="V10" s="50" t="s">
        <v>352</v>
      </c>
      <c r="W10" s="50" t="s">
        <v>85</v>
      </c>
      <c r="X10" s="50" t="s">
        <v>575</v>
      </c>
      <c r="Y10" t="s">
        <v>1120</v>
      </c>
      <c r="AD10" t="s">
        <v>883</v>
      </c>
      <c r="AG10" t="s">
        <v>884</v>
      </c>
      <c r="AM10" t="s">
        <v>881</v>
      </c>
    </row>
    <row r="11" spans="1:40" ht="14.45" customHeight="1">
      <c r="A11" s="81"/>
      <c r="B11" s="82"/>
      <c r="C11" s="82"/>
      <c r="D11" s="82"/>
      <c r="E11" s="82"/>
      <c r="F11" s="82"/>
      <c r="G11" s="82"/>
      <c r="H11" s="49"/>
      <c r="I11" s="49"/>
      <c r="J11" s="82"/>
      <c r="K11" s="82"/>
      <c r="L11" s="49"/>
      <c r="M11" s="49"/>
      <c r="N11" s="82"/>
      <c r="O11" s="82"/>
      <c r="P11" s="82"/>
      <c r="Q11" s="83"/>
      <c r="R11" s="4"/>
      <c r="T11" s="50" t="s">
        <v>34</v>
      </c>
      <c r="U11" s="50" t="s">
        <v>312</v>
      </c>
      <c r="V11" s="50" t="s">
        <v>352</v>
      </c>
      <c r="W11" s="50" t="s">
        <v>397</v>
      </c>
      <c r="X11" s="50" t="s">
        <v>192</v>
      </c>
    </row>
    <row r="12" spans="1:40" ht="14.45" customHeight="1">
      <c r="A12" s="81" t="s">
        <v>576</v>
      </c>
      <c r="B12" s="82" t="s">
        <v>25</v>
      </c>
      <c r="C12" s="82" t="s">
        <v>25</v>
      </c>
      <c r="D12" s="82" t="s">
        <v>25</v>
      </c>
      <c r="E12" s="82" t="s">
        <v>25</v>
      </c>
      <c r="F12" s="82" t="s">
        <v>25</v>
      </c>
      <c r="G12" s="82" t="s">
        <v>25</v>
      </c>
      <c r="H12" s="49" t="s">
        <v>33</v>
      </c>
      <c r="I12" s="49" t="s">
        <v>33</v>
      </c>
      <c r="J12" s="82" t="s">
        <v>25</v>
      </c>
      <c r="K12" s="82" t="s">
        <v>25</v>
      </c>
      <c r="L12" s="49" t="s">
        <v>33</v>
      </c>
      <c r="M12" s="82" t="s">
        <v>25</v>
      </c>
      <c r="N12" s="82" t="s">
        <v>25</v>
      </c>
      <c r="O12" s="64" t="s">
        <v>25</v>
      </c>
      <c r="P12" s="82">
        <f>COUNTIF(B12:O12,"✔")</f>
        <v>11</v>
      </c>
      <c r="Q12" s="83">
        <f>P12/14</f>
        <v>0.7857142857142857</v>
      </c>
      <c r="R12" s="4" t="s">
        <v>26</v>
      </c>
      <c r="S12" t="s">
        <v>351</v>
      </c>
      <c r="T12" s="50" t="s">
        <v>34</v>
      </c>
      <c r="U12" s="50" t="s">
        <v>312</v>
      </c>
      <c r="V12" s="50" t="s">
        <v>352</v>
      </c>
      <c r="W12" s="50" t="s">
        <v>85</v>
      </c>
      <c r="X12" s="50" t="s">
        <v>575</v>
      </c>
      <c r="Y12" t="s">
        <v>1121</v>
      </c>
      <c r="AD12" t="s">
        <v>883</v>
      </c>
      <c r="AG12" t="s">
        <v>884</v>
      </c>
      <c r="AM12" t="s">
        <v>881</v>
      </c>
    </row>
    <row r="13" spans="1:40" ht="14.45" customHeight="1">
      <c r="A13" s="81"/>
      <c r="B13" s="82"/>
      <c r="C13" s="82"/>
      <c r="D13" s="82"/>
      <c r="E13" s="82"/>
      <c r="F13" s="82"/>
      <c r="G13" s="82"/>
      <c r="H13" s="49"/>
      <c r="I13" s="49"/>
      <c r="J13" s="82"/>
      <c r="K13" s="82"/>
      <c r="L13" s="49"/>
      <c r="M13" s="82"/>
      <c r="N13" s="82"/>
      <c r="O13" s="82"/>
      <c r="P13" s="82"/>
      <c r="Q13" s="83"/>
      <c r="R13" s="4"/>
      <c r="T13" s="50" t="s">
        <v>34</v>
      </c>
      <c r="U13" s="50" t="s">
        <v>312</v>
      </c>
      <c r="V13" s="50" t="s">
        <v>352</v>
      </c>
      <c r="W13" s="50" t="s">
        <v>397</v>
      </c>
      <c r="X13" s="50" t="s">
        <v>192</v>
      </c>
    </row>
    <row r="14" spans="1:40" ht="14.45" customHeight="1">
      <c r="A14" s="81" t="s">
        <v>577</v>
      </c>
      <c r="B14" s="82" t="s">
        <v>25</v>
      </c>
      <c r="C14" s="82" t="s">
        <v>25</v>
      </c>
      <c r="D14" s="82" t="s">
        <v>25</v>
      </c>
      <c r="E14" s="82" t="s">
        <v>25</v>
      </c>
      <c r="F14" s="49" t="s">
        <v>33</v>
      </c>
      <c r="G14" s="82" t="s">
        <v>25</v>
      </c>
      <c r="H14" s="49" t="s">
        <v>33</v>
      </c>
      <c r="I14" s="82" t="s">
        <v>25</v>
      </c>
      <c r="J14" s="82" t="s">
        <v>25</v>
      </c>
      <c r="K14" s="82" t="s">
        <v>25</v>
      </c>
      <c r="L14" s="49" t="s">
        <v>33</v>
      </c>
      <c r="M14" s="49" t="s">
        <v>33</v>
      </c>
      <c r="N14" s="82" t="s">
        <v>25</v>
      </c>
      <c r="O14" s="5" t="s">
        <v>25</v>
      </c>
      <c r="P14" s="82">
        <f>COUNTIF(B14:O14,"✔")</f>
        <v>10</v>
      </c>
      <c r="Q14" s="83">
        <f>P14/14</f>
        <v>0.7142857142857143</v>
      </c>
      <c r="R14" s="4" t="s">
        <v>26</v>
      </c>
      <c r="S14" t="s">
        <v>351</v>
      </c>
      <c r="T14" s="50" t="s">
        <v>34</v>
      </c>
      <c r="U14" s="50" t="s">
        <v>312</v>
      </c>
      <c r="V14" s="50" t="s">
        <v>352</v>
      </c>
      <c r="W14" s="50" t="s">
        <v>578</v>
      </c>
      <c r="X14" s="50" t="s">
        <v>579</v>
      </c>
      <c r="Y14" t="s">
        <v>1122</v>
      </c>
      <c r="AD14" t="s">
        <v>883</v>
      </c>
      <c r="AG14" t="s">
        <v>884</v>
      </c>
      <c r="AM14" t="s">
        <v>881</v>
      </c>
    </row>
    <row r="15" spans="1:40" ht="14.45" customHeight="1">
      <c r="A15" s="81"/>
      <c r="B15" s="82"/>
      <c r="C15" s="82"/>
      <c r="D15" s="82"/>
      <c r="E15" s="82"/>
      <c r="F15" s="49"/>
      <c r="G15" s="82"/>
      <c r="H15" s="49"/>
      <c r="I15" s="82"/>
      <c r="J15" s="82"/>
      <c r="K15" s="82"/>
      <c r="L15" s="49"/>
      <c r="M15" s="49"/>
      <c r="N15" s="82"/>
      <c r="O15" s="82"/>
      <c r="P15" s="82"/>
      <c r="Q15" s="83"/>
      <c r="R15" s="4"/>
      <c r="T15" s="50" t="s">
        <v>34</v>
      </c>
      <c r="U15" s="50" t="s">
        <v>312</v>
      </c>
      <c r="V15" s="50" t="s">
        <v>352</v>
      </c>
      <c r="W15" s="50" t="s">
        <v>397</v>
      </c>
      <c r="X15" s="50" t="s">
        <v>192</v>
      </c>
    </row>
    <row r="16" spans="1:40" ht="14.45" customHeight="1">
      <c r="A16" s="81" t="s">
        <v>580</v>
      </c>
      <c r="B16" s="82" t="s">
        <v>25</v>
      </c>
      <c r="C16" s="82" t="s">
        <v>25</v>
      </c>
      <c r="D16" s="82" t="s">
        <v>25</v>
      </c>
      <c r="E16" s="82" t="s">
        <v>25</v>
      </c>
      <c r="F16" s="49" t="s">
        <v>33</v>
      </c>
      <c r="G16" s="82" t="s">
        <v>25</v>
      </c>
      <c r="H16" s="49" t="s">
        <v>33</v>
      </c>
      <c r="I16" s="49" t="s">
        <v>33</v>
      </c>
      <c r="J16" s="82" t="s">
        <v>25</v>
      </c>
      <c r="K16" s="82" t="s">
        <v>25</v>
      </c>
      <c r="L16" s="49" t="s">
        <v>33</v>
      </c>
      <c r="M16" s="49" t="s">
        <v>33</v>
      </c>
      <c r="N16" s="49" t="s">
        <v>33</v>
      </c>
      <c r="O16" s="5" t="s">
        <v>33</v>
      </c>
      <c r="P16" s="82">
        <f>COUNTIF(B16:O16,"✔")</f>
        <v>7</v>
      </c>
      <c r="Q16" s="83">
        <f>P16/14</f>
        <v>0.5</v>
      </c>
      <c r="R16" s="4" t="s">
        <v>26</v>
      </c>
      <c r="S16" t="s">
        <v>351</v>
      </c>
      <c r="T16" s="50" t="s">
        <v>34</v>
      </c>
      <c r="U16" s="50" t="s">
        <v>312</v>
      </c>
      <c r="V16" s="50" t="s">
        <v>352</v>
      </c>
      <c r="W16" s="50" t="s">
        <v>578</v>
      </c>
      <c r="X16" s="50" t="s">
        <v>579</v>
      </c>
      <c r="Y16" t="s">
        <v>1123</v>
      </c>
      <c r="AD16" t="s">
        <v>883</v>
      </c>
      <c r="AG16" t="s">
        <v>884</v>
      </c>
      <c r="AM16" t="s">
        <v>881</v>
      </c>
    </row>
    <row r="17" spans="1:40" ht="14.45" customHeight="1">
      <c r="A17" s="81"/>
      <c r="B17" s="82"/>
      <c r="C17" s="82"/>
      <c r="D17" s="82"/>
      <c r="E17" s="82"/>
      <c r="F17" s="49"/>
      <c r="G17" s="82"/>
      <c r="H17" s="49"/>
      <c r="I17" s="49"/>
      <c r="J17" s="82"/>
      <c r="K17" s="82"/>
      <c r="L17" s="49"/>
      <c r="M17" s="49"/>
      <c r="N17" s="49"/>
      <c r="O17" s="49"/>
      <c r="P17" s="82"/>
      <c r="Q17" s="83"/>
      <c r="R17" s="4"/>
      <c r="T17" s="50" t="s">
        <v>34</v>
      </c>
      <c r="U17" s="50" t="s">
        <v>312</v>
      </c>
      <c r="V17" s="50" t="s">
        <v>352</v>
      </c>
      <c r="W17" s="50" t="s">
        <v>397</v>
      </c>
      <c r="X17" s="50" t="s">
        <v>192</v>
      </c>
    </row>
    <row r="18" spans="1:40" ht="14.45" customHeight="1">
      <c r="A18" s="81" t="s">
        <v>581</v>
      </c>
      <c r="B18" s="82" t="s">
        <v>25</v>
      </c>
      <c r="C18" s="82" t="s">
        <v>25</v>
      </c>
      <c r="D18" s="82" t="s">
        <v>25</v>
      </c>
      <c r="E18" s="82" t="s">
        <v>25</v>
      </c>
      <c r="F18" s="49" t="s">
        <v>33</v>
      </c>
      <c r="G18" s="82" t="s">
        <v>25</v>
      </c>
      <c r="H18" s="49" t="s">
        <v>33</v>
      </c>
      <c r="I18" s="49" t="s">
        <v>33</v>
      </c>
      <c r="J18" s="82" t="s">
        <v>25</v>
      </c>
      <c r="K18" s="82" t="s">
        <v>25</v>
      </c>
      <c r="L18" s="49" t="s">
        <v>33</v>
      </c>
      <c r="M18" s="49" t="s">
        <v>33</v>
      </c>
      <c r="N18" s="82" t="s">
        <v>25</v>
      </c>
      <c r="O18" s="5" t="s">
        <v>33</v>
      </c>
      <c r="P18" s="82">
        <f>COUNTIF(B18:O18,"✔")</f>
        <v>8</v>
      </c>
      <c r="Q18" s="83">
        <f>P18/14</f>
        <v>0.5714285714285714</v>
      </c>
      <c r="R18" s="4" t="s">
        <v>26</v>
      </c>
      <c r="S18" t="s">
        <v>351</v>
      </c>
      <c r="T18" s="50" t="s">
        <v>34</v>
      </c>
      <c r="U18" s="50" t="s">
        <v>312</v>
      </c>
      <c r="V18" s="50" t="s">
        <v>352</v>
      </c>
      <c r="W18" s="50" t="s">
        <v>578</v>
      </c>
      <c r="X18" s="50" t="s">
        <v>579</v>
      </c>
      <c r="Y18" t="s">
        <v>1124</v>
      </c>
      <c r="AD18" t="s">
        <v>883</v>
      </c>
      <c r="AG18" t="s">
        <v>884</v>
      </c>
      <c r="AM18" t="s">
        <v>881</v>
      </c>
    </row>
    <row r="19" spans="1:40" ht="14.45" customHeight="1">
      <c r="A19" s="81"/>
      <c r="B19" s="82"/>
      <c r="C19" s="82"/>
      <c r="D19" s="82"/>
      <c r="E19" s="82"/>
      <c r="F19" s="49"/>
      <c r="G19" s="82"/>
      <c r="H19" s="49"/>
      <c r="I19" s="49"/>
      <c r="J19" s="82"/>
      <c r="K19" s="82"/>
      <c r="L19" s="49"/>
      <c r="M19" s="49"/>
      <c r="N19" s="82"/>
      <c r="O19" s="82"/>
      <c r="P19" s="82"/>
      <c r="Q19" s="83"/>
      <c r="R19" s="4"/>
      <c r="T19" s="50" t="s">
        <v>34</v>
      </c>
      <c r="U19" s="50" t="s">
        <v>312</v>
      </c>
      <c r="V19" s="50" t="s">
        <v>352</v>
      </c>
      <c r="W19" s="50" t="s">
        <v>397</v>
      </c>
      <c r="X19" s="50" t="s">
        <v>192</v>
      </c>
    </row>
    <row r="20" spans="1:40" ht="14.45" customHeight="1">
      <c r="A20" s="81" t="s">
        <v>582</v>
      </c>
      <c r="B20" s="82" t="s">
        <v>25</v>
      </c>
      <c r="C20" s="82" t="s">
        <v>25</v>
      </c>
      <c r="D20" s="82" t="s">
        <v>25</v>
      </c>
      <c r="E20" s="82" t="s">
        <v>25</v>
      </c>
      <c r="F20" s="49" t="s">
        <v>33</v>
      </c>
      <c r="G20" s="82" t="s">
        <v>25</v>
      </c>
      <c r="H20" s="49" t="s">
        <v>33</v>
      </c>
      <c r="I20" s="49" t="s">
        <v>33</v>
      </c>
      <c r="J20" s="82" t="s">
        <v>25</v>
      </c>
      <c r="K20" s="82" t="s">
        <v>25</v>
      </c>
      <c r="L20" s="49" t="s">
        <v>33</v>
      </c>
      <c r="M20" s="49" t="s">
        <v>33</v>
      </c>
      <c r="N20" s="82" t="s">
        <v>25</v>
      </c>
      <c r="O20" s="5" t="s">
        <v>33</v>
      </c>
      <c r="P20" s="82">
        <f>COUNTIF(B20:O20,"✔")</f>
        <v>8</v>
      </c>
      <c r="Q20" s="83">
        <f>P20/14</f>
        <v>0.5714285714285714</v>
      </c>
      <c r="R20" s="4" t="s">
        <v>26</v>
      </c>
      <c r="S20" t="s">
        <v>351</v>
      </c>
      <c r="T20" s="50" t="s">
        <v>34</v>
      </c>
      <c r="U20" s="50" t="s">
        <v>312</v>
      </c>
      <c r="V20" s="50" t="s">
        <v>352</v>
      </c>
      <c r="W20" s="50" t="s">
        <v>578</v>
      </c>
      <c r="X20" s="50" t="s">
        <v>579</v>
      </c>
      <c r="Y20" t="s">
        <v>1125</v>
      </c>
      <c r="AD20" t="s">
        <v>883</v>
      </c>
      <c r="AG20" t="s">
        <v>884</v>
      </c>
      <c r="AM20" t="s">
        <v>881</v>
      </c>
    </row>
    <row r="21" spans="1:40" ht="14.45" customHeight="1">
      <c r="A21" s="81"/>
      <c r="B21" s="82"/>
      <c r="C21" s="82"/>
      <c r="D21" s="82"/>
      <c r="E21" s="82"/>
      <c r="F21" s="49"/>
      <c r="G21" s="82"/>
      <c r="H21" s="49"/>
      <c r="I21" s="49"/>
      <c r="J21" s="82"/>
      <c r="K21" s="82"/>
      <c r="L21" s="49"/>
      <c r="M21" s="49"/>
      <c r="N21" s="82"/>
      <c r="O21" s="82"/>
      <c r="P21" s="82"/>
      <c r="Q21" s="83"/>
      <c r="R21" s="4"/>
      <c r="T21" s="50" t="s">
        <v>34</v>
      </c>
      <c r="U21" s="50" t="s">
        <v>312</v>
      </c>
      <c r="V21" s="50" t="s">
        <v>352</v>
      </c>
      <c r="W21" s="50" t="s">
        <v>397</v>
      </c>
      <c r="X21" s="50" t="s">
        <v>192</v>
      </c>
    </row>
    <row r="22" spans="1:40" ht="14.45" customHeight="1">
      <c r="A22" s="81" t="s">
        <v>583</v>
      </c>
      <c r="B22" s="82" t="s">
        <v>25</v>
      </c>
      <c r="C22" s="82" t="s">
        <v>25</v>
      </c>
      <c r="D22" s="82" t="s">
        <v>25</v>
      </c>
      <c r="E22" s="82" t="s">
        <v>25</v>
      </c>
      <c r="F22" s="82" t="s">
        <v>25</v>
      </c>
      <c r="G22" s="82" t="s">
        <v>25</v>
      </c>
      <c r="H22" s="49" t="s">
        <v>33</v>
      </c>
      <c r="I22" s="82" t="s">
        <v>25</v>
      </c>
      <c r="J22" s="82" t="s">
        <v>25</v>
      </c>
      <c r="K22" s="82" t="s">
        <v>25</v>
      </c>
      <c r="L22" s="49" t="s">
        <v>33</v>
      </c>
      <c r="M22" s="49" t="s">
        <v>33</v>
      </c>
      <c r="N22" s="82" t="s">
        <v>25</v>
      </c>
      <c r="O22" s="5" t="s">
        <v>33</v>
      </c>
      <c r="P22" s="82">
        <f>COUNTIF(B22:O22,"✔")</f>
        <v>10</v>
      </c>
      <c r="Q22" s="83">
        <f>P22/14</f>
        <v>0.7142857142857143</v>
      </c>
      <c r="R22" s="4" t="s">
        <v>26</v>
      </c>
      <c r="S22" t="s">
        <v>513</v>
      </c>
      <c r="T22" s="50" t="s">
        <v>34</v>
      </c>
      <c r="U22" s="50" t="s">
        <v>52</v>
      </c>
      <c r="V22" s="50" t="s">
        <v>53</v>
      </c>
      <c r="W22" s="50" t="s">
        <v>405</v>
      </c>
      <c r="X22" s="50" t="s">
        <v>406</v>
      </c>
      <c r="Y22" t="s">
        <v>1126</v>
      </c>
      <c r="AD22" t="s">
        <v>883</v>
      </c>
      <c r="AG22" t="s">
        <v>884</v>
      </c>
      <c r="AM22" t="s">
        <v>881</v>
      </c>
    </row>
    <row r="23" spans="1:40" ht="14.45" customHeight="1">
      <c r="A23" s="57" t="s">
        <v>584</v>
      </c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5"/>
      <c r="R23" s="65"/>
      <c r="S23" s="66"/>
      <c r="T23" s="79"/>
      <c r="U23" s="79"/>
      <c r="V23" s="79"/>
      <c r="W23" s="79"/>
      <c r="X23" s="79"/>
    </row>
    <row r="24" spans="1:40" ht="14.45" customHeight="1">
      <c r="A24" s="81" t="s">
        <v>585</v>
      </c>
      <c r="B24" s="82" t="s">
        <v>25</v>
      </c>
      <c r="C24" s="82" t="s">
        <v>25</v>
      </c>
      <c r="D24" s="82" t="s">
        <v>25</v>
      </c>
      <c r="E24" s="82" t="s">
        <v>25</v>
      </c>
      <c r="F24" s="82" t="s">
        <v>25</v>
      </c>
      <c r="G24" s="82" t="s">
        <v>25</v>
      </c>
      <c r="H24" s="82" t="s">
        <v>25</v>
      </c>
      <c r="I24" s="82" t="s">
        <v>25</v>
      </c>
      <c r="J24" s="82" t="s">
        <v>25</v>
      </c>
      <c r="K24" s="82" t="s">
        <v>25</v>
      </c>
      <c r="L24" s="82" t="s">
        <v>25</v>
      </c>
      <c r="M24" s="82" t="s">
        <v>25</v>
      </c>
      <c r="N24" s="49" t="s">
        <v>33</v>
      </c>
      <c r="O24" s="64" t="s">
        <v>25</v>
      </c>
      <c r="P24" s="82">
        <f>COUNTIF(B24:O24,"✔")</f>
        <v>13</v>
      </c>
      <c r="Q24" s="83">
        <f>P24/14</f>
        <v>0.9285714285714286</v>
      </c>
      <c r="R24" s="4" t="s">
        <v>26</v>
      </c>
      <c r="S24" t="s">
        <v>351</v>
      </c>
      <c r="T24" s="50" t="s">
        <v>34</v>
      </c>
      <c r="U24" s="50" t="s">
        <v>312</v>
      </c>
      <c r="V24" s="50" t="s">
        <v>352</v>
      </c>
      <c r="W24" s="50" t="s">
        <v>586</v>
      </c>
      <c r="X24" s="50" t="s">
        <v>587</v>
      </c>
      <c r="Y24" t="s">
        <v>1127</v>
      </c>
      <c r="AD24" t="s">
        <v>883</v>
      </c>
      <c r="AG24" t="s">
        <v>884</v>
      </c>
      <c r="AM24" t="s">
        <v>881</v>
      </c>
    </row>
    <row r="25" spans="1:40" ht="14.45" customHeight="1">
      <c r="A25" s="81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49"/>
      <c r="O25" s="49"/>
      <c r="P25" s="82"/>
      <c r="Q25" s="83"/>
      <c r="R25" s="4"/>
      <c r="T25" s="50" t="s">
        <v>34</v>
      </c>
      <c r="U25" s="50" t="s">
        <v>312</v>
      </c>
      <c r="V25" s="50" t="s">
        <v>352</v>
      </c>
      <c r="W25" s="50" t="s">
        <v>253</v>
      </c>
      <c r="X25" s="50" t="s">
        <v>355</v>
      </c>
    </row>
    <row r="26" spans="1:40" ht="14.45" customHeight="1">
      <c r="A26" s="81" t="s">
        <v>588</v>
      </c>
      <c r="B26" s="82" t="s">
        <v>25</v>
      </c>
      <c r="C26" s="82" t="s">
        <v>25</v>
      </c>
      <c r="D26" s="49" t="s">
        <v>33</v>
      </c>
      <c r="E26" s="49" t="s">
        <v>33</v>
      </c>
      <c r="F26" s="49" t="s">
        <v>33</v>
      </c>
      <c r="G26" s="49" t="s">
        <v>33</v>
      </c>
      <c r="H26" s="49" t="s">
        <v>33</v>
      </c>
      <c r="I26" s="49" t="s">
        <v>33</v>
      </c>
      <c r="J26" s="82" t="s">
        <v>25</v>
      </c>
      <c r="K26" s="49" t="s">
        <v>33</v>
      </c>
      <c r="L26" s="49" t="s">
        <v>33</v>
      </c>
      <c r="M26" s="49" t="s">
        <v>33</v>
      </c>
      <c r="N26" s="49" t="s">
        <v>33</v>
      </c>
      <c r="O26" s="5" t="s">
        <v>33</v>
      </c>
      <c r="P26" s="82">
        <f>COUNTIF(B26:O26,"✔")</f>
        <v>3</v>
      </c>
      <c r="Q26" s="83">
        <f>P26/14</f>
        <v>0.21428571428571427</v>
      </c>
      <c r="R26" s="4" t="s">
        <v>26</v>
      </c>
      <c r="S26" t="s">
        <v>351</v>
      </c>
      <c r="T26" s="48" t="s">
        <v>34</v>
      </c>
      <c r="U26" s="48" t="s">
        <v>29</v>
      </c>
      <c r="V26" s="48" t="s">
        <v>35</v>
      </c>
      <c r="W26" s="48" t="s">
        <v>142</v>
      </c>
      <c r="X26" s="48" t="s">
        <v>143</v>
      </c>
      <c r="Y26" t="s">
        <v>1128</v>
      </c>
      <c r="AD26" t="s">
        <v>879</v>
      </c>
      <c r="AG26" t="s">
        <v>884</v>
      </c>
      <c r="AM26" t="s">
        <v>916</v>
      </c>
      <c r="AN26" t="s">
        <v>142</v>
      </c>
    </row>
    <row r="27" spans="1:40" ht="14.45" customHeight="1">
      <c r="A27" s="81" t="s">
        <v>589</v>
      </c>
      <c r="B27" s="82" t="s">
        <v>25</v>
      </c>
      <c r="C27" s="49" t="s">
        <v>33</v>
      </c>
      <c r="D27" s="49" t="s">
        <v>33</v>
      </c>
      <c r="E27" s="49" t="s">
        <v>33</v>
      </c>
      <c r="F27" s="82" t="s">
        <v>25</v>
      </c>
      <c r="G27" s="49" t="s">
        <v>33</v>
      </c>
      <c r="H27" s="49" t="s">
        <v>33</v>
      </c>
      <c r="I27" s="49" t="s">
        <v>33</v>
      </c>
      <c r="J27" s="82" t="s">
        <v>25</v>
      </c>
      <c r="K27" s="82" t="s">
        <v>25</v>
      </c>
      <c r="L27" s="49" t="s">
        <v>33</v>
      </c>
      <c r="M27" s="49" t="s">
        <v>33</v>
      </c>
      <c r="N27" s="82" t="s">
        <v>25</v>
      </c>
      <c r="O27" s="5" t="s">
        <v>33</v>
      </c>
      <c r="P27" s="82">
        <f>COUNTIF(B27:O27,"✔")</f>
        <v>5</v>
      </c>
      <c r="Q27" s="83">
        <f>P27/14</f>
        <v>0.35714285714285715</v>
      </c>
      <c r="R27" s="4" t="s">
        <v>26</v>
      </c>
      <c r="S27" t="s">
        <v>351</v>
      </c>
      <c r="T27" s="48" t="s">
        <v>34</v>
      </c>
      <c r="U27" s="48" t="s">
        <v>29</v>
      </c>
      <c r="V27" s="48" t="s">
        <v>35</v>
      </c>
      <c r="W27" s="48" t="s">
        <v>142</v>
      </c>
      <c r="X27" s="48" t="s">
        <v>143</v>
      </c>
      <c r="Y27" t="s">
        <v>1129</v>
      </c>
      <c r="AD27" t="s">
        <v>879</v>
      </c>
      <c r="AG27" t="s">
        <v>884</v>
      </c>
      <c r="AM27" t="s">
        <v>916</v>
      </c>
      <c r="AN27" t="s">
        <v>142</v>
      </c>
    </row>
    <row r="28" spans="1:40" ht="14.45" customHeight="1">
      <c r="A28" s="57" t="s">
        <v>590</v>
      </c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5"/>
      <c r="R28" s="65"/>
      <c r="S28" s="66"/>
      <c r="T28" s="79"/>
      <c r="U28" s="79"/>
      <c r="V28" s="79"/>
      <c r="W28" s="79"/>
      <c r="X28" s="79"/>
    </row>
    <row r="29" spans="1:40" ht="14.45" customHeight="1">
      <c r="A29" s="81" t="s">
        <v>591</v>
      </c>
      <c r="B29" s="49" t="s">
        <v>33</v>
      </c>
      <c r="C29" s="49" t="s">
        <v>33</v>
      </c>
      <c r="D29" s="49" t="s">
        <v>33</v>
      </c>
      <c r="E29" s="49" t="s">
        <v>33</v>
      </c>
      <c r="F29" s="49" t="s">
        <v>33</v>
      </c>
      <c r="G29" s="49" t="s">
        <v>33</v>
      </c>
      <c r="H29" s="49" t="s">
        <v>33</v>
      </c>
      <c r="I29" s="49" t="s">
        <v>33</v>
      </c>
      <c r="J29" s="49" t="s">
        <v>33</v>
      </c>
      <c r="K29" s="82" t="s">
        <v>25</v>
      </c>
      <c r="L29" s="49" t="s">
        <v>33</v>
      </c>
      <c r="M29" s="49" t="s">
        <v>33</v>
      </c>
      <c r="N29" s="49" t="s">
        <v>33</v>
      </c>
      <c r="O29" s="5" t="s">
        <v>33</v>
      </c>
      <c r="P29" s="82">
        <f>COUNTIF(B29:O29,"✔")</f>
        <v>1</v>
      </c>
      <c r="Q29" s="83">
        <f>P29/14</f>
        <v>7.1428571428571425E-2</v>
      </c>
      <c r="R29" s="4" t="s">
        <v>26</v>
      </c>
      <c r="S29" t="s">
        <v>351</v>
      </c>
      <c r="T29" s="48" t="s">
        <v>34</v>
      </c>
      <c r="U29" s="81" t="s">
        <v>29</v>
      </c>
      <c r="V29" s="81" t="s">
        <v>592</v>
      </c>
      <c r="W29" s="81" t="s">
        <v>593</v>
      </c>
      <c r="X29" s="81" t="s">
        <v>428</v>
      </c>
      <c r="Y29" t="s">
        <v>1130</v>
      </c>
      <c r="AD29" t="s">
        <v>899</v>
      </c>
      <c r="AG29" t="s">
        <v>925</v>
      </c>
      <c r="AM29" t="s">
        <v>881</v>
      </c>
    </row>
    <row r="30" spans="1:40" ht="14.45" customHeight="1">
      <c r="A30" s="81"/>
      <c r="B30" s="49"/>
      <c r="C30" s="49"/>
      <c r="D30" s="49"/>
      <c r="E30" s="49"/>
      <c r="F30" s="49"/>
      <c r="G30" s="49"/>
      <c r="H30" s="49"/>
      <c r="I30" s="49"/>
      <c r="J30" s="49"/>
      <c r="K30" s="82"/>
      <c r="L30" s="49"/>
      <c r="M30" s="49"/>
      <c r="N30" s="49"/>
      <c r="O30" s="49"/>
      <c r="P30" s="82"/>
      <c r="Q30" s="83"/>
      <c r="R30" s="4"/>
      <c r="T30" s="48" t="s">
        <v>34</v>
      </c>
      <c r="U30" s="81" t="s">
        <v>29</v>
      </c>
      <c r="V30" s="81" t="s">
        <v>592</v>
      </c>
      <c r="W30" s="81" t="s">
        <v>594</v>
      </c>
      <c r="X30" s="81" t="s">
        <v>454</v>
      </c>
    </row>
    <row r="31" spans="1:40" ht="14.45" customHeight="1">
      <c r="A31" s="81" t="s">
        <v>595</v>
      </c>
      <c r="B31" s="49" t="s">
        <v>33</v>
      </c>
      <c r="C31" s="49" t="s">
        <v>33</v>
      </c>
      <c r="D31" s="49" t="s">
        <v>33</v>
      </c>
      <c r="E31" s="49" t="s">
        <v>33</v>
      </c>
      <c r="F31" s="49" t="s">
        <v>33</v>
      </c>
      <c r="G31" s="49" t="s">
        <v>33</v>
      </c>
      <c r="H31" s="49" t="s">
        <v>33</v>
      </c>
      <c r="I31" s="49" t="s">
        <v>33</v>
      </c>
      <c r="J31" s="49" t="s">
        <v>33</v>
      </c>
      <c r="K31" s="82" t="s">
        <v>25</v>
      </c>
      <c r="L31" s="49" t="s">
        <v>33</v>
      </c>
      <c r="M31" s="49" t="s">
        <v>33</v>
      </c>
      <c r="N31" s="49" t="s">
        <v>33</v>
      </c>
      <c r="O31" s="5" t="s">
        <v>33</v>
      </c>
      <c r="P31" s="82">
        <f>COUNTIF(B31:O31,"✔")</f>
        <v>1</v>
      </c>
      <c r="Q31" s="83">
        <f>P31/14</f>
        <v>7.1428571428571425E-2</v>
      </c>
      <c r="R31" s="4" t="s">
        <v>26</v>
      </c>
      <c r="S31" t="s">
        <v>351</v>
      </c>
      <c r="T31" s="48" t="s">
        <v>34</v>
      </c>
      <c r="U31" s="81" t="s">
        <v>40</v>
      </c>
      <c r="V31" s="81" t="s">
        <v>119</v>
      </c>
      <c r="W31" s="81" t="s">
        <v>266</v>
      </c>
      <c r="X31" s="81" t="s">
        <v>207</v>
      </c>
      <c r="Y31" t="s">
        <v>1131</v>
      </c>
      <c r="AD31" t="s">
        <v>899</v>
      </c>
      <c r="AG31" t="s">
        <v>910</v>
      </c>
      <c r="AM31" t="s">
        <v>881</v>
      </c>
    </row>
  </sheetData>
  <dataValidations count="7">
    <dataValidation type="list" allowBlank="1" showInputMessage="1" sqref="AA2:AA31" xr:uid="{F2439DE3-C5EC-4B1E-B81F-D226A1DD77DE}">
      <mc:AlternateContent xmlns:x12ac="http://schemas.microsoft.com/office/spreadsheetml/2011/1/ac" xmlns:mc="http://schemas.openxmlformats.org/markup-compatibility/2006">
        <mc:Choice Requires="x12ac">
          <x12ac:list>"Mandatory,Optional,Out of scope,N/A"</x12ac:list>
        </mc:Choice>
        <mc:Fallback>
          <formula1>"Mandatory,Optional,Out of scope,N/A"</formula1>
        </mc:Fallback>
      </mc:AlternateContent>
    </dataValidation>
    <dataValidation type="list" allowBlank="1" showInputMessage="1" sqref="AD2:AD31" xr:uid="{3C032ABF-F339-42EE-B482-E08DD5F075D9}">
      <mc:AlternateContent xmlns:x12ac="http://schemas.microsoft.com/office/spreadsheetml/2011/1/ac" xmlns:mc="http://schemas.openxmlformats.org/markup-compatibility/2006">
        <mc:Choice Requires="x12ac">
          <x12ac:list>"numeric,categorical,boolean,date,text,document,geometry,time series,reference,composite"</x12ac:list>
        </mc:Choice>
        <mc:Fallback>
          <formula1>"numeric,categorical,boolean,date,text,document,geometry,time series,reference,composite"</formula1>
        </mc:Fallback>
      </mc:AlternateContent>
    </dataValidation>
    <dataValidation type="list" allowBlank="1" showInputMessage="1" sqref="AG2:AG31" xr:uid="{73CED453-3A82-4FA6-B417-BBCEC53C62F1}">
      <mc:AlternateContent xmlns:x12ac="http://schemas.microsoft.com/office/spreadsheetml/2011/1/ac" xmlns:mc="http://schemas.openxmlformats.org/markup-compatibility/2006">
        <mc:Choice Requires="x12ac">
          <x12ac:list>"building,unit,zone,component,site / context,any level"</x12ac:list>
        </mc:Choice>
        <mc:Fallback>
          <formula1>"building,unit,zone,component,site / context,any level"</formula1>
        </mc:Fallback>
      </mc:AlternateContent>
    </dataValidation>
    <dataValidation type="list" allowBlank="1" showInputMessage="1" sqref="AH2:AH31" xr:uid="{A20698C4-A22C-4FF1-8467-1C66B32B9574}">
      <mc:AlternateContent xmlns:x12ac="http://schemas.microsoft.com/office/spreadsheetml/2011/1/ac" xmlns:mc="http://schemas.openxmlformats.org/markup-compatibility/2006">
        <mc:Choice Requires="x12ac">
          <x12ac:list>"static,historical,periodic,real-time"</x12ac:list>
        </mc:Choice>
        <mc:Fallback>
          <formula1>"static,historical,periodic,real-time"</formula1>
        </mc:Fallback>
      </mc:AlternateContent>
    </dataValidation>
    <dataValidation type="list" allowBlank="1" showInputMessage="1" sqref="AI2:AI31" xr:uid="{22425AFE-1208-4763-960C-F7AFE4BCCF0F}">
      <mc:AlternateContent xmlns:x12ac="http://schemas.microsoft.com/office/spreadsheetml/2011/1/ac" xmlns:mc="http://schemas.openxmlformats.org/markup-compatibility/2006">
        <mc:Choice Requires="x12ac">
          <x12ac:list>"Public,Restricted,Personal data (GDPR),Commercially sensitive"</x12ac:list>
        </mc:Choice>
        <mc:Fallback>
          <formula1>"Public,Restricted,Personal data (GDPR),Commercially sensitive"</formula1>
        </mc:Fallback>
      </mc:AlternateContent>
    </dataValidation>
    <dataValidation type="list" allowBlank="1" showInputMessage="1" sqref="AL2:AL31" xr:uid="{5B809AD7-93AD-4BA0-B980-F5035C99C619}">
      <mc:AlternateContent xmlns:x12ac="http://schemas.microsoft.com/office/spreadsheetml/2011/1/ac" xmlns:mc="http://schemas.openxmlformats.org/markup-compatibility/2006">
        <mc:Choice Requires="x12ac">
          <x12ac:list>"open data,API,manual input,inspection,derived"</x12ac:list>
        </mc:Choice>
        <mc:Fallback>
          <formula1>"open data,API,manual input,inspection,derived"</formula1>
        </mc:Fallback>
      </mc:AlternateContent>
    </dataValidation>
    <dataValidation type="list" allowBlank="1" showInputMessage="1" sqref="AM2:AM31" xr:uid="{B2938860-4DF1-4B27-BA86-B62E36AF5B10}">
      <mc:AlternateContent xmlns:x12ac="http://schemas.microsoft.com/office/spreadsheetml/2011/1/ac" xmlns:mc="http://schemas.openxmlformats.org/markup-compatibility/2006">
        <mc:Choice Requires="x12ac">
          <x12ac:list>"Native,Workaround,Extension needed,Out of scope,N/A"</x12ac:list>
        </mc:Choice>
        <mc:Fallback>
          <formula1>"Native,Workaround,Extension needed,Out of scope,N/A"</formula1>
        </mc:Fallback>
      </mc:AlternateContent>
    </dataValidation>
  </dataValidations>
  <pageMargins left="0.7" right="0.7" top="0.75" bottom="0.75" header="0.3" footer="0.3"/>
  <pageSetup paperSize="9" orientation="portrait" horizontalDpi="360" verticalDpi="3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N21"/>
  <sheetViews>
    <sheetView zoomScale="109" zoomScaleNormal="100" workbookViewId="0">
      <pane xSplit="1" topLeftCell="P1" activePane="topRight" state="frozen"/>
      <selection pane="topRight" activeCell="S9" sqref="S9"/>
    </sheetView>
  </sheetViews>
  <sheetFormatPr defaultRowHeight="15" customHeight="1"/>
  <cols>
    <col min="1" max="1" width="50.7109375" customWidth="1"/>
    <col min="2" max="18" width="13.7109375" customWidth="1"/>
    <col min="19" max="22" width="20.7109375" customWidth="1"/>
    <col min="25" max="40" width="16.7109375" customWidth="1"/>
  </cols>
  <sheetData>
    <row r="1" spans="1:40" ht="75" customHeight="1">
      <c r="A1" s="87" t="s">
        <v>853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67" t="s">
        <v>17</v>
      </c>
      <c r="S1" s="67" t="s">
        <v>18</v>
      </c>
      <c r="T1" s="78" t="s">
        <v>19</v>
      </c>
      <c r="U1" s="78" t="s">
        <v>20</v>
      </c>
      <c r="V1" s="77" t="s">
        <v>21</v>
      </c>
      <c r="W1" s="77" t="s">
        <v>22</v>
      </c>
      <c r="X1" s="77" t="s">
        <v>23</v>
      </c>
      <c r="Y1" s="77" t="s">
        <v>862</v>
      </c>
      <c r="Z1" s="77" t="s">
        <v>863</v>
      </c>
      <c r="AA1" s="77" t="s">
        <v>864</v>
      </c>
      <c r="AB1" s="77" t="s">
        <v>865</v>
      </c>
      <c r="AC1" s="77" t="s">
        <v>866</v>
      </c>
      <c r="AD1" s="77" t="s">
        <v>867</v>
      </c>
      <c r="AE1" s="77" t="s">
        <v>868</v>
      </c>
      <c r="AF1" s="77" t="s">
        <v>869</v>
      </c>
      <c r="AG1" s="77" t="s">
        <v>870</v>
      </c>
      <c r="AH1" s="77" t="s">
        <v>871</v>
      </c>
      <c r="AI1" s="77" t="s">
        <v>872</v>
      </c>
      <c r="AJ1" s="77" t="s">
        <v>873</v>
      </c>
      <c r="AK1" s="77" t="s">
        <v>874</v>
      </c>
      <c r="AL1" s="77" t="s">
        <v>875</v>
      </c>
      <c r="AM1" s="77" t="s">
        <v>876</v>
      </c>
      <c r="AN1" s="77" t="s">
        <v>877</v>
      </c>
    </row>
    <row r="2" spans="1:40" ht="14.45" customHeight="1">
      <c r="A2" s="57" t="s">
        <v>596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65"/>
      <c r="S2" s="66"/>
      <c r="T2" s="58"/>
      <c r="U2" s="58"/>
      <c r="V2" s="58"/>
      <c r="W2" s="58"/>
      <c r="X2" s="58"/>
    </row>
    <row r="3" spans="1:40" ht="14.45" customHeight="1">
      <c r="A3" s="81" t="s">
        <v>597</v>
      </c>
      <c r="B3" s="82" t="s">
        <v>25</v>
      </c>
      <c r="C3" s="82" t="s">
        <v>25</v>
      </c>
      <c r="D3" s="82" t="s">
        <v>25</v>
      </c>
      <c r="E3" s="82" t="s">
        <v>25</v>
      </c>
      <c r="F3" s="49" t="s">
        <v>33</v>
      </c>
      <c r="G3" s="49" t="s">
        <v>33</v>
      </c>
      <c r="H3" s="49" t="s">
        <v>33</v>
      </c>
      <c r="I3" s="82" t="s">
        <v>25</v>
      </c>
      <c r="J3" s="49" t="s">
        <v>33</v>
      </c>
      <c r="K3" s="49" t="s">
        <v>33</v>
      </c>
      <c r="L3" s="49" t="s">
        <v>33</v>
      </c>
      <c r="M3" s="49" t="s">
        <v>33</v>
      </c>
      <c r="N3" s="49" t="s">
        <v>33</v>
      </c>
      <c r="O3" s="5" t="s">
        <v>33</v>
      </c>
      <c r="P3" s="82">
        <f>COUNTIF(B3:O3,"✔")</f>
        <v>5</v>
      </c>
      <c r="Q3" s="83">
        <f>P3/14</f>
        <v>0.35714285714285715</v>
      </c>
      <c r="R3" s="4" t="s">
        <v>26</v>
      </c>
      <c r="S3" t="s">
        <v>598</v>
      </c>
      <c r="T3" s="51" t="s">
        <v>34</v>
      </c>
      <c r="U3" s="51" t="s">
        <v>29</v>
      </c>
      <c r="V3" s="51" t="s">
        <v>394</v>
      </c>
      <c r="W3" s="51" t="s">
        <v>85</v>
      </c>
      <c r="X3" s="51" t="s">
        <v>395</v>
      </c>
      <c r="Y3" t="s">
        <v>1132</v>
      </c>
      <c r="AD3" t="s">
        <v>1012</v>
      </c>
      <c r="AG3" t="s">
        <v>884</v>
      </c>
      <c r="AH3" t="s">
        <v>1013</v>
      </c>
      <c r="AM3" t="s">
        <v>881</v>
      </c>
    </row>
    <row r="4" spans="1:40" ht="14.45" customHeight="1">
      <c r="A4" s="81"/>
      <c r="B4" s="82"/>
      <c r="C4" s="82"/>
      <c r="D4" s="82"/>
      <c r="E4" s="82"/>
      <c r="F4" s="49"/>
      <c r="G4" s="49"/>
      <c r="H4" s="49"/>
      <c r="I4" s="82"/>
      <c r="J4" s="49"/>
      <c r="K4" s="49"/>
      <c r="L4" s="49"/>
      <c r="M4" s="49"/>
      <c r="N4" s="49"/>
      <c r="O4" s="49"/>
      <c r="P4" s="82"/>
      <c r="Q4" s="83"/>
      <c r="R4" s="4"/>
      <c r="T4" s="51" t="s">
        <v>34</v>
      </c>
      <c r="U4" s="51" t="s">
        <v>29</v>
      </c>
      <c r="V4" s="51" t="s">
        <v>394</v>
      </c>
      <c r="W4" s="51" t="s">
        <v>599</v>
      </c>
      <c r="X4" s="51" t="s">
        <v>192</v>
      </c>
    </row>
    <row r="5" spans="1:40" ht="14.45" customHeight="1">
      <c r="A5" s="81" t="s">
        <v>600</v>
      </c>
      <c r="B5" s="82" t="s">
        <v>25</v>
      </c>
      <c r="C5" s="82" t="s">
        <v>25</v>
      </c>
      <c r="D5" s="49" t="s">
        <v>33</v>
      </c>
      <c r="E5" s="49" t="s">
        <v>33</v>
      </c>
      <c r="F5" s="49" t="s">
        <v>33</v>
      </c>
      <c r="G5" s="49" t="s">
        <v>33</v>
      </c>
      <c r="H5" s="49" t="s">
        <v>33</v>
      </c>
      <c r="I5" s="49" t="s">
        <v>33</v>
      </c>
      <c r="J5" s="49" t="s">
        <v>33</v>
      </c>
      <c r="K5" s="49" t="s">
        <v>33</v>
      </c>
      <c r="L5" s="49" t="s">
        <v>33</v>
      </c>
      <c r="M5" s="49" t="s">
        <v>33</v>
      </c>
      <c r="N5" s="49" t="s">
        <v>33</v>
      </c>
      <c r="O5" s="5" t="s">
        <v>33</v>
      </c>
      <c r="P5" s="82">
        <f>COUNTIF(B5:O5,"✔")</f>
        <v>2</v>
      </c>
      <c r="Q5" s="83">
        <f>P5/14</f>
        <v>0.14285714285714285</v>
      </c>
      <c r="R5" s="4" t="s">
        <v>65</v>
      </c>
      <c r="S5" t="s">
        <v>601</v>
      </c>
      <c r="T5" s="51" t="s">
        <v>34</v>
      </c>
      <c r="U5" s="51" t="s">
        <v>29</v>
      </c>
      <c r="V5" s="51" t="s">
        <v>35</v>
      </c>
      <c r="W5" s="51" t="s">
        <v>142</v>
      </c>
      <c r="X5" s="51" t="s">
        <v>143</v>
      </c>
      <c r="Y5" t="s">
        <v>1133</v>
      </c>
      <c r="AA5" t="s">
        <v>895</v>
      </c>
      <c r="AD5" t="s">
        <v>879</v>
      </c>
      <c r="AG5" t="s">
        <v>884</v>
      </c>
      <c r="AM5" t="s">
        <v>916</v>
      </c>
      <c r="AN5" t="s">
        <v>142</v>
      </c>
    </row>
    <row r="6" spans="1:40" ht="14.45" customHeight="1">
      <c r="A6" s="81" t="s">
        <v>602</v>
      </c>
      <c r="B6" s="49" t="s">
        <v>33</v>
      </c>
      <c r="C6" s="49" t="s">
        <v>33</v>
      </c>
      <c r="D6" s="49" t="s">
        <v>33</v>
      </c>
      <c r="E6" s="49" t="s">
        <v>33</v>
      </c>
      <c r="F6" s="49" t="s">
        <v>33</v>
      </c>
      <c r="G6" s="49" t="s">
        <v>33</v>
      </c>
      <c r="H6" s="49" t="s">
        <v>33</v>
      </c>
      <c r="I6" s="49" t="s">
        <v>33</v>
      </c>
      <c r="J6" s="49" t="s">
        <v>33</v>
      </c>
      <c r="K6" s="82" t="s">
        <v>25</v>
      </c>
      <c r="L6" s="49" t="s">
        <v>33</v>
      </c>
      <c r="M6" s="49" t="s">
        <v>33</v>
      </c>
      <c r="N6" s="82" t="s">
        <v>25</v>
      </c>
      <c r="O6" s="64" t="s">
        <v>25</v>
      </c>
      <c r="P6" s="82">
        <f>COUNTIF(B6:O6,"✔")</f>
        <v>3</v>
      </c>
      <c r="Q6" s="83">
        <f>P6/14</f>
        <v>0.21428571428571427</v>
      </c>
      <c r="R6" s="4" t="s">
        <v>26</v>
      </c>
      <c r="S6" t="s">
        <v>603</v>
      </c>
      <c r="T6" s="51" t="s">
        <v>34</v>
      </c>
      <c r="U6" s="51" t="s">
        <v>40</v>
      </c>
      <c r="V6" s="51" t="s">
        <v>166</v>
      </c>
      <c r="W6" s="51" t="s">
        <v>472</v>
      </c>
      <c r="X6" s="51" t="s">
        <v>469</v>
      </c>
      <c r="Y6" t="s">
        <v>1134</v>
      </c>
      <c r="AD6" t="s">
        <v>1012</v>
      </c>
      <c r="AG6" t="s">
        <v>925</v>
      </c>
      <c r="AH6" t="s">
        <v>1013</v>
      </c>
      <c r="AM6" t="s">
        <v>881</v>
      </c>
    </row>
    <row r="7" spans="1:40" ht="14.45" customHeight="1">
      <c r="A7" s="81"/>
      <c r="B7" s="49"/>
      <c r="C7" s="49"/>
      <c r="D7" s="49"/>
      <c r="E7" s="49"/>
      <c r="F7" s="49"/>
      <c r="G7" s="49"/>
      <c r="H7" s="49"/>
      <c r="I7" s="49"/>
      <c r="J7" s="49"/>
      <c r="K7" s="82"/>
      <c r="L7" s="49"/>
      <c r="M7" s="49"/>
      <c r="N7" s="82"/>
      <c r="O7" s="82"/>
      <c r="P7" s="82"/>
      <c r="Q7" s="83"/>
      <c r="R7" s="4"/>
      <c r="T7" s="51" t="s">
        <v>34</v>
      </c>
      <c r="U7" s="51" t="s">
        <v>40</v>
      </c>
      <c r="V7" s="51" t="s">
        <v>166</v>
      </c>
      <c r="W7" s="51" t="s">
        <v>473</v>
      </c>
      <c r="X7" s="51" t="s">
        <v>469</v>
      </c>
    </row>
    <row r="8" spans="1:40" ht="14.45" customHeight="1">
      <c r="A8" s="81" t="s">
        <v>604</v>
      </c>
      <c r="B8" s="49" t="s">
        <v>33</v>
      </c>
      <c r="C8" s="82" t="s">
        <v>25</v>
      </c>
      <c r="D8" s="49" t="s">
        <v>33</v>
      </c>
      <c r="E8" s="49" t="s">
        <v>33</v>
      </c>
      <c r="F8" s="49" t="s">
        <v>33</v>
      </c>
      <c r="G8" s="49" t="s">
        <v>33</v>
      </c>
      <c r="H8" s="49" t="s">
        <v>33</v>
      </c>
      <c r="I8" s="49" t="s">
        <v>33</v>
      </c>
      <c r="J8" s="49" t="s">
        <v>33</v>
      </c>
      <c r="K8" s="49" t="s">
        <v>33</v>
      </c>
      <c r="L8" s="49" t="s">
        <v>33</v>
      </c>
      <c r="M8" s="49" t="s">
        <v>33</v>
      </c>
      <c r="N8" s="49" t="s">
        <v>33</v>
      </c>
      <c r="O8" s="5" t="s">
        <v>33</v>
      </c>
      <c r="P8" s="82">
        <f>COUNTIF(B8:O8,"✔")</f>
        <v>1</v>
      </c>
      <c r="Q8" s="83">
        <f>P8/14</f>
        <v>7.1428571428571425E-2</v>
      </c>
      <c r="R8" s="4" t="s">
        <v>26</v>
      </c>
      <c r="S8" t="s">
        <v>605</v>
      </c>
      <c r="T8" s="51" t="s">
        <v>34</v>
      </c>
      <c r="U8" s="51" t="s">
        <v>29</v>
      </c>
      <c r="V8" s="51" t="s">
        <v>394</v>
      </c>
      <c r="W8" s="51" t="s">
        <v>85</v>
      </c>
      <c r="X8" s="51" t="s">
        <v>395</v>
      </c>
      <c r="Y8" t="s">
        <v>1135</v>
      </c>
      <c r="AD8" t="s">
        <v>1012</v>
      </c>
      <c r="AG8" t="s">
        <v>884</v>
      </c>
      <c r="AH8" t="s">
        <v>1013</v>
      </c>
      <c r="AM8" t="s">
        <v>881</v>
      </c>
    </row>
    <row r="9" spans="1:40" ht="14.45" customHeight="1">
      <c r="A9" s="81"/>
      <c r="B9" s="49"/>
      <c r="C9" s="82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82"/>
      <c r="Q9" s="83"/>
      <c r="R9" s="4"/>
      <c r="T9" s="51" t="s">
        <v>34</v>
      </c>
      <c r="U9" s="51" t="s">
        <v>29</v>
      </c>
      <c r="V9" s="51" t="s">
        <v>394</v>
      </c>
      <c r="W9" s="51" t="s">
        <v>599</v>
      </c>
      <c r="X9" s="51" t="s">
        <v>192</v>
      </c>
    </row>
    <row r="10" spans="1:40" ht="14.45" customHeight="1">
      <c r="A10" s="57" t="s">
        <v>606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5"/>
      <c r="R10" s="65"/>
      <c r="S10" s="66"/>
      <c r="T10" s="58"/>
      <c r="U10" s="58"/>
      <c r="V10" s="58"/>
      <c r="W10" s="58"/>
      <c r="X10" s="58"/>
    </row>
    <row r="11" spans="1:40" ht="14.45" customHeight="1">
      <c r="A11" s="81" t="s">
        <v>607</v>
      </c>
      <c r="B11" s="82" t="s">
        <v>25</v>
      </c>
      <c r="C11" s="82" t="s">
        <v>25</v>
      </c>
      <c r="D11" s="82" t="s">
        <v>25</v>
      </c>
      <c r="E11" s="49" t="s">
        <v>33</v>
      </c>
      <c r="F11" s="49" t="s">
        <v>33</v>
      </c>
      <c r="G11" s="49" t="s">
        <v>33</v>
      </c>
      <c r="H11" s="49" t="s">
        <v>33</v>
      </c>
      <c r="I11" s="82" t="s">
        <v>25</v>
      </c>
      <c r="J11" s="49" t="s">
        <v>33</v>
      </c>
      <c r="K11" s="49" t="s">
        <v>33</v>
      </c>
      <c r="L11" s="49" t="s">
        <v>33</v>
      </c>
      <c r="M11" s="82" t="s">
        <v>25</v>
      </c>
      <c r="N11" s="49" t="s">
        <v>33</v>
      </c>
      <c r="O11" s="5" t="s">
        <v>33</v>
      </c>
      <c r="P11" s="82">
        <f>COUNTIF(B11:O11,"✔")</f>
        <v>5</v>
      </c>
      <c r="Q11" s="83">
        <f>P11/14</f>
        <v>0.35714285714285715</v>
      </c>
      <c r="R11" s="4" t="s">
        <v>26</v>
      </c>
      <c r="S11" t="s">
        <v>605</v>
      </c>
      <c r="T11" s="51" t="s">
        <v>34</v>
      </c>
      <c r="U11" s="51" t="s">
        <v>29</v>
      </c>
      <c r="V11" s="51" t="s">
        <v>394</v>
      </c>
      <c r="W11" s="51" t="s">
        <v>85</v>
      </c>
      <c r="X11" s="51" t="s">
        <v>395</v>
      </c>
      <c r="Y11" t="s">
        <v>1136</v>
      </c>
      <c r="AD11" t="s">
        <v>1012</v>
      </c>
      <c r="AG11" t="s">
        <v>884</v>
      </c>
      <c r="AH11" t="s">
        <v>1013</v>
      </c>
      <c r="AM11" t="s">
        <v>881</v>
      </c>
    </row>
    <row r="12" spans="1:40" ht="14.45" customHeight="1">
      <c r="A12" s="81"/>
      <c r="B12" s="82"/>
      <c r="C12" s="82"/>
      <c r="D12" s="82"/>
      <c r="E12" s="49"/>
      <c r="F12" s="49"/>
      <c r="G12" s="49"/>
      <c r="H12" s="49"/>
      <c r="I12" s="82"/>
      <c r="J12" s="49"/>
      <c r="K12" s="49"/>
      <c r="L12" s="49"/>
      <c r="M12" s="82"/>
      <c r="N12" s="49"/>
      <c r="O12" s="49"/>
      <c r="P12" s="82"/>
      <c r="Q12" s="83"/>
      <c r="R12" s="4"/>
      <c r="T12" s="51" t="s">
        <v>34</v>
      </c>
      <c r="U12" s="51" t="s">
        <v>29</v>
      </c>
      <c r="V12" s="51" t="s">
        <v>394</v>
      </c>
      <c r="W12" s="51" t="s">
        <v>599</v>
      </c>
      <c r="X12" s="51" t="s">
        <v>192</v>
      </c>
    </row>
    <row r="13" spans="1:40" ht="14.45" customHeight="1">
      <c r="A13" s="81" t="s">
        <v>608</v>
      </c>
      <c r="B13" s="49" t="s">
        <v>33</v>
      </c>
      <c r="C13" s="82" t="s">
        <v>25</v>
      </c>
      <c r="D13" s="49" t="s">
        <v>33</v>
      </c>
      <c r="E13" s="49" t="s">
        <v>33</v>
      </c>
      <c r="F13" s="49" t="s">
        <v>33</v>
      </c>
      <c r="G13" s="49" t="s">
        <v>33</v>
      </c>
      <c r="H13" s="49" t="s">
        <v>33</v>
      </c>
      <c r="I13" s="49" t="s">
        <v>33</v>
      </c>
      <c r="J13" s="49" t="s">
        <v>33</v>
      </c>
      <c r="K13" s="49" t="s">
        <v>33</v>
      </c>
      <c r="L13" s="49" t="s">
        <v>33</v>
      </c>
      <c r="M13" s="49" t="s">
        <v>33</v>
      </c>
      <c r="N13" s="49" t="s">
        <v>33</v>
      </c>
      <c r="O13" s="5" t="s">
        <v>33</v>
      </c>
      <c r="P13" s="82">
        <f>COUNTIF(B13:O13,"✔")</f>
        <v>1</v>
      </c>
      <c r="Q13" s="83">
        <f>P13/14</f>
        <v>7.1428571428571425E-2</v>
      </c>
      <c r="R13" s="4" t="s">
        <v>26</v>
      </c>
      <c r="S13" t="s">
        <v>605</v>
      </c>
      <c r="T13" s="51" t="s">
        <v>34</v>
      </c>
      <c r="U13" s="51" t="s">
        <v>29</v>
      </c>
      <c r="V13" s="51" t="s">
        <v>35</v>
      </c>
      <c r="W13" s="51" t="s">
        <v>142</v>
      </c>
      <c r="X13" s="51" t="s">
        <v>143</v>
      </c>
      <c r="Y13" t="s">
        <v>1137</v>
      </c>
      <c r="AD13" t="s">
        <v>879</v>
      </c>
      <c r="AG13" t="s">
        <v>884</v>
      </c>
      <c r="AM13" t="s">
        <v>916</v>
      </c>
      <c r="AN13" t="s">
        <v>142</v>
      </c>
    </row>
    <row r="14" spans="1:40" ht="14.45" customHeight="1">
      <c r="A14" s="57" t="s">
        <v>609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5"/>
      <c r="R14" s="65"/>
      <c r="S14" s="66"/>
      <c r="T14" s="58"/>
      <c r="U14" s="58"/>
      <c r="V14" s="58"/>
      <c r="W14" s="58"/>
      <c r="X14" s="58"/>
    </row>
    <row r="15" spans="1:40" ht="14.45" customHeight="1">
      <c r="A15" s="81" t="s">
        <v>610</v>
      </c>
      <c r="B15" s="49" t="s">
        <v>33</v>
      </c>
      <c r="C15" s="82" t="s">
        <v>25</v>
      </c>
      <c r="D15" s="49" t="s">
        <v>33</v>
      </c>
      <c r="E15" s="49" t="s">
        <v>33</v>
      </c>
      <c r="F15" s="49" t="s">
        <v>33</v>
      </c>
      <c r="G15" s="49" t="s">
        <v>33</v>
      </c>
      <c r="H15" s="49" t="s">
        <v>33</v>
      </c>
      <c r="I15" s="49" t="s">
        <v>33</v>
      </c>
      <c r="J15" s="49" t="s">
        <v>33</v>
      </c>
      <c r="K15" s="49" t="s">
        <v>33</v>
      </c>
      <c r="L15" s="49" t="s">
        <v>33</v>
      </c>
      <c r="M15" s="49" t="s">
        <v>33</v>
      </c>
      <c r="N15" s="49" t="s">
        <v>33</v>
      </c>
      <c r="O15" s="5" t="s">
        <v>33</v>
      </c>
      <c r="P15" s="82">
        <f>COUNTIF(B15:O15,"✔")</f>
        <v>1</v>
      </c>
      <c r="Q15" s="83">
        <f>P15/14</f>
        <v>7.1428571428571425E-2</v>
      </c>
      <c r="R15" s="4" t="s">
        <v>26</v>
      </c>
      <c r="S15" t="s">
        <v>605</v>
      </c>
      <c r="T15" s="51" t="s">
        <v>34</v>
      </c>
      <c r="U15" s="51" t="s">
        <v>29</v>
      </c>
      <c r="V15" s="51" t="s">
        <v>35</v>
      </c>
      <c r="W15" s="51" t="s">
        <v>142</v>
      </c>
      <c r="X15" s="51" t="s">
        <v>143</v>
      </c>
      <c r="Y15" t="s">
        <v>1138</v>
      </c>
      <c r="AD15" t="s">
        <v>879</v>
      </c>
      <c r="AG15" t="s">
        <v>884</v>
      </c>
      <c r="AM15" t="s">
        <v>916</v>
      </c>
      <c r="AN15" t="s">
        <v>142</v>
      </c>
    </row>
    <row r="16" spans="1:40" ht="14.45" customHeight="1">
      <c r="A16" s="81" t="s">
        <v>611</v>
      </c>
      <c r="B16" s="49" t="s">
        <v>33</v>
      </c>
      <c r="C16" s="82" t="s">
        <v>25</v>
      </c>
      <c r="D16" s="49" t="s">
        <v>33</v>
      </c>
      <c r="E16" s="49" t="s">
        <v>33</v>
      </c>
      <c r="F16" s="49" t="s">
        <v>33</v>
      </c>
      <c r="G16" s="49" t="s">
        <v>33</v>
      </c>
      <c r="H16" s="49" t="s">
        <v>33</v>
      </c>
      <c r="I16" s="49" t="s">
        <v>33</v>
      </c>
      <c r="J16" s="49" t="s">
        <v>33</v>
      </c>
      <c r="K16" s="49" t="s">
        <v>33</v>
      </c>
      <c r="L16" s="49" t="s">
        <v>33</v>
      </c>
      <c r="M16" s="49" t="s">
        <v>33</v>
      </c>
      <c r="N16" s="49" t="s">
        <v>33</v>
      </c>
      <c r="O16" s="5" t="s">
        <v>33</v>
      </c>
      <c r="P16" s="82">
        <f>COUNTIF(B16:O16,"✔")</f>
        <v>1</v>
      </c>
      <c r="Q16" s="83">
        <f>P16/14</f>
        <v>7.1428571428571425E-2</v>
      </c>
      <c r="R16" s="4" t="s">
        <v>26</v>
      </c>
      <c r="S16" t="s">
        <v>605</v>
      </c>
      <c r="T16" s="51" t="s">
        <v>34</v>
      </c>
      <c r="U16" s="51" t="s">
        <v>29</v>
      </c>
      <c r="V16" s="51" t="s">
        <v>35</v>
      </c>
      <c r="W16" s="51" t="s">
        <v>142</v>
      </c>
      <c r="X16" s="51" t="s">
        <v>143</v>
      </c>
      <c r="Y16" t="s">
        <v>1139</v>
      </c>
      <c r="AD16" t="s">
        <v>879</v>
      </c>
      <c r="AG16" t="s">
        <v>884</v>
      </c>
      <c r="AM16" t="s">
        <v>916</v>
      </c>
      <c r="AN16" t="s">
        <v>142</v>
      </c>
    </row>
    <row r="17" spans="1:40" ht="14.45" customHeight="1">
      <c r="A17" s="81" t="s">
        <v>612</v>
      </c>
      <c r="B17" s="49" t="s">
        <v>33</v>
      </c>
      <c r="C17" s="82" t="s">
        <v>25</v>
      </c>
      <c r="D17" s="49" t="s">
        <v>33</v>
      </c>
      <c r="E17" s="49" t="s">
        <v>33</v>
      </c>
      <c r="F17" s="49" t="s">
        <v>33</v>
      </c>
      <c r="G17" s="49" t="s">
        <v>33</v>
      </c>
      <c r="H17" s="49" t="s">
        <v>33</v>
      </c>
      <c r="I17" s="49" t="s">
        <v>33</v>
      </c>
      <c r="J17" s="49" t="s">
        <v>33</v>
      </c>
      <c r="K17" s="49" t="s">
        <v>33</v>
      </c>
      <c r="L17" s="49" t="s">
        <v>33</v>
      </c>
      <c r="M17" s="49" t="s">
        <v>33</v>
      </c>
      <c r="N17" s="49" t="s">
        <v>33</v>
      </c>
      <c r="O17" s="5" t="s">
        <v>33</v>
      </c>
      <c r="P17" s="82">
        <f>COUNTIF(B17:O17,"✔")</f>
        <v>1</v>
      </c>
      <c r="Q17" s="83">
        <f>P17/14</f>
        <v>7.1428571428571425E-2</v>
      </c>
      <c r="R17" s="4" t="s">
        <v>26</v>
      </c>
      <c r="S17" t="s">
        <v>605</v>
      </c>
      <c r="T17" s="51" t="s">
        <v>34</v>
      </c>
      <c r="U17" s="51" t="s">
        <v>29</v>
      </c>
      <c r="V17" s="51" t="s">
        <v>35</v>
      </c>
      <c r="W17" s="51" t="s">
        <v>142</v>
      </c>
      <c r="X17" s="51" t="s">
        <v>143</v>
      </c>
      <c r="Y17" t="s">
        <v>1140</v>
      </c>
      <c r="AD17" t="s">
        <v>879</v>
      </c>
      <c r="AG17" t="s">
        <v>884</v>
      </c>
      <c r="AM17" t="s">
        <v>916</v>
      </c>
      <c r="AN17" t="s">
        <v>142</v>
      </c>
    </row>
    <row r="18" spans="1:40" ht="14.45" customHeight="1">
      <c r="A18" s="57" t="s">
        <v>613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5"/>
      <c r="R18" s="65"/>
      <c r="S18" s="66"/>
      <c r="T18" s="58"/>
      <c r="U18" s="58"/>
      <c r="V18" s="58"/>
      <c r="W18" s="58"/>
      <c r="X18" s="58"/>
    </row>
    <row r="19" spans="1:40" ht="14.45" customHeight="1">
      <c r="A19" s="81" t="s">
        <v>614</v>
      </c>
      <c r="B19" s="82" t="s">
        <v>25</v>
      </c>
      <c r="C19" s="82" t="s">
        <v>25</v>
      </c>
      <c r="D19" s="49" t="s">
        <v>33</v>
      </c>
      <c r="E19" s="49" t="s">
        <v>33</v>
      </c>
      <c r="F19" s="49" t="s">
        <v>33</v>
      </c>
      <c r="G19" s="49" t="s">
        <v>33</v>
      </c>
      <c r="H19" s="49" t="s">
        <v>33</v>
      </c>
      <c r="I19" s="49" t="s">
        <v>33</v>
      </c>
      <c r="J19" s="49" t="s">
        <v>33</v>
      </c>
      <c r="K19" s="49" t="s">
        <v>33</v>
      </c>
      <c r="L19" s="49" t="s">
        <v>33</v>
      </c>
      <c r="M19" s="49" t="s">
        <v>33</v>
      </c>
      <c r="N19" s="49" t="s">
        <v>33</v>
      </c>
      <c r="O19" s="5" t="s">
        <v>33</v>
      </c>
      <c r="P19" s="82">
        <f>COUNTIF(B19:O19,"✔")</f>
        <v>2</v>
      </c>
      <c r="Q19" s="83">
        <f>P19/14</f>
        <v>0.14285714285714285</v>
      </c>
      <c r="R19" s="4" t="s">
        <v>65</v>
      </c>
      <c r="S19" t="s">
        <v>601</v>
      </c>
      <c r="T19" s="51" t="s">
        <v>34</v>
      </c>
      <c r="U19" s="51" t="s">
        <v>29</v>
      </c>
      <c r="V19" s="51" t="s">
        <v>35</v>
      </c>
      <c r="W19" s="51" t="s">
        <v>142</v>
      </c>
      <c r="X19" s="51" t="s">
        <v>143</v>
      </c>
      <c r="Y19" t="s">
        <v>1141</v>
      </c>
      <c r="AA19" t="s">
        <v>895</v>
      </c>
      <c r="AD19" t="s">
        <v>879</v>
      </c>
      <c r="AG19" t="s">
        <v>884</v>
      </c>
      <c r="AM19" t="s">
        <v>916</v>
      </c>
      <c r="AN19" t="s">
        <v>142</v>
      </c>
    </row>
    <row r="20" spans="1:40" ht="14.45" customHeight="1">
      <c r="A20" s="81" t="s">
        <v>615</v>
      </c>
      <c r="B20" s="82" t="s">
        <v>25</v>
      </c>
      <c r="C20" s="49" t="s">
        <v>33</v>
      </c>
      <c r="D20" s="49" t="s">
        <v>33</v>
      </c>
      <c r="E20" s="49" t="s">
        <v>33</v>
      </c>
      <c r="F20" s="49" t="s">
        <v>33</v>
      </c>
      <c r="G20" s="49" t="s">
        <v>33</v>
      </c>
      <c r="H20" s="49" t="s">
        <v>33</v>
      </c>
      <c r="I20" s="82" t="s">
        <v>25</v>
      </c>
      <c r="J20" s="49" t="s">
        <v>33</v>
      </c>
      <c r="K20" s="49" t="s">
        <v>33</v>
      </c>
      <c r="L20" s="49" t="s">
        <v>33</v>
      </c>
      <c r="M20" s="49" t="s">
        <v>33</v>
      </c>
      <c r="N20" s="49" t="s">
        <v>33</v>
      </c>
      <c r="O20" s="5" t="s">
        <v>33</v>
      </c>
      <c r="P20" s="82">
        <f>COUNTIF(B20:O20,"✔")</f>
        <v>2</v>
      </c>
      <c r="Q20" s="83">
        <f>P20/14</f>
        <v>0.14285714285714285</v>
      </c>
      <c r="R20" s="4" t="s">
        <v>65</v>
      </c>
      <c r="S20" t="s">
        <v>616</v>
      </c>
      <c r="T20" s="51" t="s">
        <v>34</v>
      </c>
      <c r="U20" s="51" t="s">
        <v>29</v>
      </c>
      <c r="V20" s="51" t="s">
        <v>35</v>
      </c>
      <c r="W20" s="51" t="s">
        <v>142</v>
      </c>
      <c r="X20" s="51" t="s">
        <v>143</v>
      </c>
      <c r="Y20" t="s">
        <v>1142</v>
      </c>
      <c r="AA20" t="s">
        <v>895</v>
      </c>
      <c r="AD20" t="s">
        <v>879</v>
      </c>
      <c r="AG20" t="s">
        <v>884</v>
      </c>
      <c r="AM20" t="s">
        <v>916</v>
      </c>
      <c r="AN20" t="s">
        <v>142</v>
      </c>
    </row>
    <row r="21" spans="1:40" ht="14.45" customHeight="1">
      <c r="A21" s="81" t="s">
        <v>617</v>
      </c>
      <c r="B21" s="49" t="s">
        <v>33</v>
      </c>
      <c r="C21" s="82" t="s">
        <v>25</v>
      </c>
      <c r="D21" s="49" t="s">
        <v>33</v>
      </c>
      <c r="E21" s="82" t="s">
        <v>25</v>
      </c>
      <c r="F21" s="49" t="s">
        <v>33</v>
      </c>
      <c r="G21" s="49" t="s">
        <v>33</v>
      </c>
      <c r="H21" s="49" t="s">
        <v>33</v>
      </c>
      <c r="I21" s="49" t="s">
        <v>33</v>
      </c>
      <c r="J21" s="49" t="s">
        <v>33</v>
      </c>
      <c r="K21" s="49" t="s">
        <v>33</v>
      </c>
      <c r="L21" s="49" t="s">
        <v>33</v>
      </c>
      <c r="M21" s="49" t="s">
        <v>33</v>
      </c>
      <c r="N21" s="49" t="s">
        <v>33</v>
      </c>
      <c r="O21" s="5" t="s">
        <v>33</v>
      </c>
      <c r="P21" s="82">
        <f>COUNTIF(B21:O21,"✔")</f>
        <v>2</v>
      </c>
      <c r="Q21" s="83">
        <f>P21/14</f>
        <v>0.14285714285714285</v>
      </c>
      <c r="R21" s="4" t="s">
        <v>65</v>
      </c>
      <c r="S21" t="s">
        <v>601</v>
      </c>
      <c r="T21" s="51" t="s">
        <v>34</v>
      </c>
      <c r="U21" s="51" t="s">
        <v>29</v>
      </c>
      <c r="V21" s="51" t="s">
        <v>35</v>
      </c>
      <c r="W21" s="51" t="s">
        <v>142</v>
      </c>
      <c r="X21" s="51" t="s">
        <v>143</v>
      </c>
      <c r="Y21" t="s">
        <v>1143</v>
      </c>
      <c r="AA21" t="s">
        <v>895</v>
      </c>
      <c r="AD21" t="s">
        <v>879</v>
      </c>
      <c r="AG21" t="s">
        <v>884</v>
      </c>
      <c r="AM21" t="s">
        <v>916</v>
      </c>
      <c r="AN21" t="s">
        <v>142</v>
      </c>
    </row>
  </sheetData>
  <dataValidations count="7">
    <dataValidation type="list" allowBlank="1" showInputMessage="1" sqref="AA2:AA21" xr:uid="{8A59E1A2-37EB-4869-90FE-BD52CF13AB10}">
      <mc:AlternateContent xmlns:x12ac="http://schemas.microsoft.com/office/spreadsheetml/2011/1/ac" xmlns:mc="http://schemas.openxmlformats.org/markup-compatibility/2006">
        <mc:Choice Requires="x12ac">
          <x12ac:list>"Mandatory,Optional,Out of scope,N/A"</x12ac:list>
        </mc:Choice>
        <mc:Fallback>
          <formula1>"Mandatory,Optional,Out of scope,N/A"</formula1>
        </mc:Fallback>
      </mc:AlternateContent>
    </dataValidation>
    <dataValidation type="list" allowBlank="1" showInputMessage="1" sqref="AD2:AD21" xr:uid="{B83B681D-7385-4CC2-83E0-C3DE166DC51C}">
      <mc:AlternateContent xmlns:x12ac="http://schemas.microsoft.com/office/spreadsheetml/2011/1/ac" xmlns:mc="http://schemas.openxmlformats.org/markup-compatibility/2006">
        <mc:Choice Requires="x12ac">
          <x12ac:list>"numeric,categorical,boolean,date,text,document,geometry,time series,reference,composite"</x12ac:list>
        </mc:Choice>
        <mc:Fallback>
          <formula1>"numeric,categorical,boolean,date,text,document,geometry,time series,reference,composite"</formula1>
        </mc:Fallback>
      </mc:AlternateContent>
    </dataValidation>
    <dataValidation type="list" allowBlank="1" showInputMessage="1" sqref="AG2:AG21" xr:uid="{F93E5697-AB46-45CD-900D-18FD556160FD}">
      <mc:AlternateContent xmlns:x12ac="http://schemas.microsoft.com/office/spreadsheetml/2011/1/ac" xmlns:mc="http://schemas.openxmlformats.org/markup-compatibility/2006">
        <mc:Choice Requires="x12ac">
          <x12ac:list>"building,unit,zone,component,site / context,any level"</x12ac:list>
        </mc:Choice>
        <mc:Fallback>
          <formula1>"building,unit,zone,component,site / context,any level"</formula1>
        </mc:Fallback>
      </mc:AlternateContent>
    </dataValidation>
    <dataValidation type="list" allowBlank="1" showInputMessage="1" sqref="AH2:AH21" xr:uid="{32EAB496-68A8-4FFF-9A25-B965B77801E7}">
      <mc:AlternateContent xmlns:x12ac="http://schemas.microsoft.com/office/spreadsheetml/2011/1/ac" xmlns:mc="http://schemas.openxmlformats.org/markup-compatibility/2006">
        <mc:Choice Requires="x12ac">
          <x12ac:list>"static,historical,periodic,real-time"</x12ac:list>
        </mc:Choice>
        <mc:Fallback>
          <formula1>"static,historical,periodic,real-time"</formula1>
        </mc:Fallback>
      </mc:AlternateContent>
    </dataValidation>
    <dataValidation type="list" allowBlank="1" showInputMessage="1" sqref="AI2:AI21" xr:uid="{FBE9AF77-E749-46D4-8704-F52F7547350D}">
      <mc:AlternateContent xmlns:x12ac="http://schemas.microsoft.com/office/spreadsheetml/2011/1/ac" xmlns:mc="http://schemas.openxmlformats.org/markup-compatibility/2006">
        <mc:Choice Requires="x12ac">
          <x12ac:list>"Public,Restricted,Personal data (GDPR),Commercially sensitive"</x12ac:list>
        </mc:Choice>
        <mc:Fallback>
          <formula1>"Public,Restricted,Personal data (GDPR),Commercially sensitive"</formula1>
        </mc:Fallback>
      </mc:AlternateContent>
    </dataValidation>
    <dataValidation type="list" allowBlank="1" showInputMessage="1" sqref="AL2:AL21" xr:uid="{65AEAF2F-E769-44D2-8684-1973E8254003}">
      <mc:AlternateContent xmlns:x12ac="http://schemas.microsoft.com/office/spreadsheetml/2011/1/ac" xmlns:mc="http://schemas.openxmlformats.org/markup-compatibility/2006">
        <mc:Choice Requires="x12ac">
          <x12ac:list>"open data,API,manual input,inspection,derived"</x12ac:list>
        </mc:Choice>
        <mc:Fallback>
          <formula1>"open data,API,manual input,inspection,derived"</formula1>
        </mc:Fallback>
      </mc:AlternateContent>
    </dataValidation>
    <dataValidation type="list" allowBlank="1" showInputMessage="1" sqref="AM2:AM21" xr:uid="{3FDC1656-D634-4955-AF26-5BF400D2D227}">
      <mc:AlternateContent xmlns:x12ac="http://schemas.microsoft.com/office/spreadsheetml/2011/1/ac" xmlns:mc="http://schemas.openxmlformats.org/markup-compatibility/2006">
        <mc:Choice Requires="x12ac">
          <x12ac:list>"Native,Workaround,Extension needed,Out of scope,N/A"</x12ac:list>
        </mc:Choice>
        <mc:Fallback>
          <formula1>"Native,Workaround,Extension needed,Out of scope,N/A"</formula1>
        </mc:Fallback>
      </mc:AlternateContent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N28"/>
  <sheetViews>
    <sheetView zoomScaleNormal="100" workbookViewId="0">
      <pane xSplit="1" topLeftCell="K1" activePane="topRight" state="frozen"/>
      <selection pane="topRight" activeCell="V34" sqref="V34"/>
    </sheetView>
  </sheetViews>
  <sheetFormatPr defaultRowHeight="15" customHeight="1"/>
  <cols>
    <col min="1" max="1" width="50.7109375" customWidth="1"/>
    <col min="2" max="18" width="13.7109375" customWidth="1"/>
    <col min="19" max="22" width="20.7109375" customWidth="1"/>
    <col min="25" max="40" width="16.7109375" customWidth="1"/>
  </cols>
  <sheetData>
    <row r="1" spans="1:40" ht="75" customHeight="1">
      <c r="A1" s="87" t="s">
        <v>854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67" t="s">
        <v>17</v>
      </c>
      <c r="S1" s="67" t="s">
        <v>18</v>
      </c>
      <c r="T1" s="78" t="s">
        <v>19</v>
      </c>
      <c r="U1" s="78" t="s">
        <v>20</v>
      </c>
      <c r="V1" s="77" t="s">
        <v>21</v>
      </c>
      <c r="W1" s="77" t="s">
        <v>22</v>
      </c>
      <c r="X1" s="77" t="s">
        <v>23</v>
      </c>
      <c r="Y1" s="77" t="s">
        <v>862</v>
      </c>
      <c r="Z1" s="77" t="s">
        <v>863</v>
      </c>
      <c r="AA1" s="77" t="s">
        <v>864</v>
      </c>
      <c r="AB1" s="77" t="s">
        <v>865</v>
      </c>
      <c r="AC1" s="77" t="s">
        <v>866</v>
      </c>
      <c r="AD1" s="77" t="s">
        <v>867</v>
      </c>
      <c r="AE1" s="77" t="s">
        <v>868</v>
      </c>
      <c r="AF1" s="77" t="s">
        <v>869</v>
      </c>
      <c r="AG1" s="77" t="s">
        <v>870</v>
      </c>
      <c r="AH1" s="77" t="s">
        <v>871</v>
      </c>
      <c r="AI1" s="77" t="s">
        <v>872</v>
      </c>
      <c r="AJ1" s="77" t="s">
        <v>873</v>
      </c>
      <c r="AK1" s="77" t="s">
        <v>874</v>
      </c>
      <c r="AL1" s="77" t="s">
        <v>875</v>
      </c>
      <c r="AM1" s="77" t="s">
        <v>876</v>
      </c>
      <c r="AN1" s="77" t="s">
        <v>877</v>
      </c>
    </row>
    <row r="2" spans="1:40" ht="14.45" customHeight="1">
      <c r="A2" s="57" t="s">
        <v>618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79"/>
      <c r="Q2" s="79"/>
      <c r="R2" s="65"/>
      <c r="S2" s="66"/>
      <c r="T2" s="58"/>
      <c r="U2" s="58"/>
      <c r="V2" s="58"/>
      <c r="W2" s="58"/>
      <c r="X2" s="58"/>
    </row>
    <row r="3" spans="1:40" ht="14.45" customHeight="1">
      <c r="A3" s="81" t="s">
        <v>619</v>
      </c>
      <c r="B3" s="82" t="s">
        <v>25</v>
      </c>
      <c r="C3" s="82" t="s">
        <v>25</v>
      </c>
      <c r="D3" s="82" t="s">
        <v>25</v>
      </c>
      <c r="E3" s="49" t="s">
        <v>33</v>
      </c>
      <c r="F3" s="49" t="s">
        <v>33</v>
      </c>
      <c r="G3" s="49" t="s">
        <v>33</v>
      </c>
      <c r="H3" s="49" t="s">
        <v>33</v>
      </c>
      <c r="I3" s="49" t="s">
        <v>33</v>
      </c>
      <c r="J3" s="49" t="s">
        <v>33</v>
      </c>
      <c r="K3" s="49" t="s">
        <v>33</v>
      </c>
      <c r="L3" s="49" t="s">
        <v>33</v>
      </c>
      <c r="M3" s="49" t="s">
        <v>33</v>
      </c>
      <c r="N3" s="49" t="s">
        <v>33</v>
      </c>
      <c r="O3" s="5" t="s">
        <v>33</v>
      </c>
      <c r="P3" s="82">
        <f>COUNTIF(B3:O3,"✔")</f>
        <v>3</v>
      </c>
      <c r="Q3" s="83">
        <f>P3/14</f>
        <v>0.21428571428571427</v>
      </c>
      <c r="R3" s="4" t="s">
        <v>26</v>
      </c>
      <c r="S3" t="s">
        <v>620</v>
      </c>
      <c r="T3" s="51" t="s">
        <v>34</v>
      </c>
      <c r="U3" s="51" t="s">
        <v>29</v>
      </c>
      <c r="V3" s="51" t="s">
        <v>394</v>
      </c>
      <c r="W3" s="51" t="s">
        <v>85</v>
      </c>
      <c r="X3" s="51" t="s">
        <v>395</v>
      </c>
      <c r="Y3" t="s">
        <v>1144</v>
      </c>
      <c r="AD3" t="s">
        <v>1012</v>
      </c>
      <c r="AG3" t="s">
        <v>884</v>
      </c>
      <c r="AH3" t="s">
        <v>1013</v>
      </c>
      <c r="AM3" t="s">
        <v>881</v>
      </c>
    </row>
    <row r="4" spans="1:40" ht="14.45" customHeight="1">
      <c r="A4" s="81"/>
      <c r="B4" s="82"/>
      <c r="C4" s="82"/>
      <c r="D4" s="82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82"/>
      <c r="Q4" s="83"/>
      <c r="R4" s="4"/>
      <c r="T4" s="51" t="s">
        <v>34</v>
      </c>
      <c r="U4" s="51" t="s">
        <v>29</v>
      </c>
      <c r="V4" s="51" t="s">
        <v>394</v>
      </c>
      <c r="W4" s="51" t="s">
        <v>599</v>
      </c>
      <c r="X4" s="51" t="s">
        <v>192</v>
      </c>
    </row>
    <row r="5" spans="1:40" ht="14.45" customHeight="1">
      <c r="A5" s="81" t="s">
        <v>621</v>
      </c>
      <c r="B5" s="49" t="s">
        <v>33</v>
      </c>
      <c r="C5" s="82" t="s">
        <v>25</v>
      </c>
      <c r="D5" s="49" t="s">
        <v>33</v>
      </c>
      <c r="E5" s="49" t="s">
        <v>33</v>
      </c>
      <c r="F5" s="49" t="s">
        <v>33</v>
      </c>
      <c r="G5" s="49" t="s">
        <v>33</v>
      </c>
      <c r="H5" s="49" t="s">
        <v>33</v>
      </c>
      <c r="I5" s="49" t="s">
        <v>33</v>
      </c>
      <c r="J5" s="49" t="s">
        <v>33</v>
      </c>
      <c r="K5" s="49" t="s">
        <v>33</v>
      </c>
      <c r="L5" s="49" t="s">
        <v>33</v>
      </c>
      <c r="M5" s="49" t="s">
        <v>33</v>
      </c>
      <c r="N5" s="49" t="s">
        <v>33</v>
      </c>
      <c r="O5" s="5" t="s">
        <v>33</v>
      </c>
      <c r="P5" s="82">
        <f>COUNTIF(B5:O5,"✔")</f>
        <v>1</v>
      </c>
      <c r="Q5" s="83">
        <f>P5/14</f>
        <v>7.1428571428571425E-2</v>
      </c>
      <c r="R5" s="4" t="s">
        <v>26</v>
      </c>
      <c r="S5" t="s">
        <v>620</v>
      </c>
      <c r="T5" s="51" t="s">
        <v>34</v>
      </c>
      <c r="U5" s="51" t="s">
        <v>29</v>
      </c>
      <c r="V5" s="51" t="s">
        <v>35</v>
      </c>
      <c r="W5" s="51" t="s">
        <v>142</v>
      </c>
      <c r="X5" s="51" t="s">
        <v>143</v>
      </c>
      <c r="Y5" t="s">
        <v>1145</v>
      </c>
      <c r="AD5" t="s">
        <v>879</v>
      </c>
      <c r="AG5" t="s">
        <v>884</v>
      </c>
      <c r="AM5" t="s">
        <v>916</v>
      </c>
      <c r="AN5" t="s">
        <v>142</v>
      </c>
    </row>
    <row r="6" spans="1:40" ht="14.45" customHeight="1">
      <c r="A6" s="57" t="s">
        <v>622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5"/>
      <c r="R6" s="65"/>
      <c r="S6" s="66"/>
      <c r="T6" s="58"/>
      <c r="U6" s="58"/>
      <c r="V6" s="58"/>
      <c r="W6" s="58"/>
      <c r="X6" s="58"/>
    </row>
    <row r="7" spans="1:40" ht="14.45" customHeight="1">
      <c r="A7" s="81" t="s">
        <v>623</v>
      </c>
      <c r="B7" s="82" t="s">
        <v>25</v>
      </c>
      <c r="C7" s="49" t="s">
        <v>33</v>
      </c>
      <c r="D7" s="49" t="s">
        <v>33</v>
      </c>
      <c r="E7" s="49" t="s">
        <v>33</v>
      </c>
      <c r="F7" s="49" t="s">
        <v>33</v>
      </c>
      <c r="G7" s="49" t="s">
        <v>33</v>
      </c>
      <c r="H7" s="49" t="s">
        <v>33</v>
      </c>
      <c r="I7" s="49" t="s">
        <v>33</v>
      </c>
      <c r="J7" s="49" t="s">
        <v>33</v>
      </c>
      <c r="K7" s="82" t="s">
        <v>25</v>
      </c>
      <c r="L7" s="49" t="s">
        <v>33</v>
      </c>
      <c r="M7" s="49" t="s">
        <v>33</v>
      </c>
      <c r="N7" s="49" t="s">
        <v>33</v>
      </c>
      <c r="O7" s="5" t="s">
        <v>33</v>
      </c>
      <c r="P7" s="82">
        <f>COUNTIF(B7:O7,"✔")</f>
        <v>2</v>
      </c>
      <c r="Q7" s="83">
        <f>P7/14</f>
        <v>0.14285714285714285</v>
      </c>
      <c r="R7" s="4" t="s">
        <v>26</v>
      </c>
      <c r="S7" t="s">
        <v>624</v>
      </c>
      <c r="T7" s="51" t="s">
        <v>34</v>
      </c>
      <c r="U7" s="51" t="s">
        <v>40</v>
      </c>
      <c r="V7" s="51" t="s">
        <v>166</v>
      </c>
      <c r="W7" s="51" t="s">
        <v>196</v>
      </c>
      <c r="X7" s="51" t="s">
        <v>192</v>
      </c>
      <c r="Y7" t="s">
        <v>1146</v>
      </c>
      <c r="AD7" t="s">
        <v>899</v>
      </c>
      <c r="AG7" t="s">
        <v>925</v>
      </c>
      <c r="AM7" t="s">
        <v>881</v>
      </c>
    </row>
    <row r="8" spans="1:40" ht="14.45" customHeight="1">
      <c r="A8" s="81" t="s">
        <v>625</v>
      </c>
      <c r="B8" s="82" t="s">
        <v>25</v>
      </c>
      <c r="C8" s="49" t="s">
        <v>33</v>
      </c>
      <c r="D8" s="82" t="s">
        <v>25</v>
      </c>
      <c r="E8" s="82" t="s">
        <v>25</v>
      </c>
      <c r="F8" s="49" t="s">
        <v>33</v>
      </c>
      <c r="G8" s="82" t="s">
        <v>25</v>
      </c>
      <c r="H8" s="82" t="s">
        <v>25</v>
      </c>
      <c r="I8" s="82" t="s">
        <v>25</v>
      </c>
      <c r="J8" s="82" t="s">
        <v>25</v>
      </c>
      <c r="K8" s="82" t="s">
        <v>25</v>
      </c>
      <c r="L8" s="82" t="s">
        <v>25</v>
      </c>
      <c r="M8" s="82" t="s">
        <v>25</v>
      </c>
      <c r="N8" s="82" t="s">
        <v>25</v>
      </c>
      <c r="O8" s="64" t="s">
        <v>25</v>
      </c>
      <c r="P8" s="82">
        <f>COUNTIF(B8:O8,"✔")</f>
        <v>12</v>
      </c>
      <c r="Q8" s="83">
        <f>P8/14</f>
        <v>0.8571428571428571</v>
      </c>
      <c r="R8" s="4" t="s">
        <v>26</v>
      </c>
      <c r="S8" t="s">
        <v>626</v>
      </c>
      <c r="T8" s="51" t="s">
        <v>34</v>
      </c>
      <c r="U8" s="51" t="s">
        <v>40</v>
      </c>
      <c r="V8" s="51" t="s">
        <v>166</v>
      </c>
      <c r="W8" s="51" t="s">
        <v>482</v>
      </c>
      <c r="X8" s="51" t="s">
        <v>152</v>
      </c>
      <c r="Y8" t="s">
        <v>1147</v>
      </c>
      <c r="AD8" t="s">
        <v>920</v>
      </c>
      <c r="AG8" t="s">
        <v>925</v>
      </c>
      <c r="AM8" t="s">
        <v>881</v>
      </c>
    </row>
    <row r="9" spans="1:40" ht="14.45" customHeight="1">
      <c r="A9" s="81" t="s">
        <v>627</v>
      </c>
      <c r="B9" s="49" t="s">
        <v>33</v>
      </c>
      <c r="C9" s="49" t="s">
        <v>33</v>
      </c>
      <c r="D9" s="49" t="s">
        <v>33</v>
      </c>
      <c r="E9" s="49" t="s">
        <v>33</v>
      </c>
      <c r="F9" s="49" t="s">
        <v>33</v>
      </c>
      <c r="G9" s="82" t="s">
        <v>25</v>
      </c>
      <c r="H9" s="49" t="s">
        <v>33</v>
      </c>
      <c r="I9" s="49" t="s">
        <v>33</v>
      </c>
      <c r="J9" s="82" t="s">
        <v>25</v>
      </c>
      <c r="K9" s="82" t="s">
        <v>25</v>
      </c>
      <c r="L9" s="49" t="s">
        <v>33</v>
      </c>
      <c r="M9" s="49" t="s">
        <v>33</v>
      </c>
      <c r="N9" s="82" t="s">
        <v>25</v>
      </c>
      <c r="O9" s="5" t="s">
        <v>33</v>
      </c>
      <c r="P9" s="82">
        <f>COUNTIF(B9:O9,"✔")</f>
        <v>4</v>
      </c>
      <c r="Q9" s="83">
        <f>P9/14</f>
        <v>0.2857142857142857</v>
      </c>
      <c r="R9" s="4" t="s">
        <v>26</v>
      </c>
      <c r="S9" t="s">
        <v>624</v>
      </c>
      <c r="T9" s="51" t="s">
        <v>34</v>
      </c>
      <c r="U9" s="51" t="s">
        <v>172</v>
      </c>
      <c r="V9" s="51" t="s">
        <v>173</v>
      </c>
      <c r="W9" s="51" t="s">
        <v>367</v>
      </c>
      <c r="X9" s="51" t="s">
        <v>192</v>
      </c>
      <c r="Y9" t="s">
        <v>1148</v>
      </c>
      <c r="AD9" t="s">
        <v>899</v>
      </c>
      <c r="AG9" t="s">
        <v>910</v>
      </c>
      <c r="AM9" t="s">
        <v>881</v>
      </c>
    </row>
    <row r="10" spans="1:40" ht="14.45" customHeight="1">
      <c r="A10" s="81" t="s">
        <v>628</v>
      </c>
      <c r="B10" s="49" t="s">
        <v>33</v>
      </c>
      <c r="C10" s="49" t="s">
        <v>33</v>
      </c>
      <c r="D10" s="49" t="s">
        <v>33</v>
      </c>
      <c r="E10" s="49" t="s">
        <v>33</v>
      </c>
      <c r="F10" s="49" t="s">
        <v>33</v>
      </c>
      <c r="G10" s="82" t="s">
        <v>25</v>
      </c>
      <c r="H10" s="49" t="s">
        <v>33</v>
      </c>
      <c r="I10" s="49" t="s">
        <v>33</v>
      </c>
      <c r="J10" s="82" t="s">
        <v>25</v>
      </c>
      <c r="K10" s="82" t="s">
        <v>25</v>
      </c>
      <c r="L10" s="49" t="s">
        <v>33</v>
      </c>
      <c r="M10" s="49" t="s">
        <v>33</v>
      </c>
      <c r="N10" s="82" t="s">
        <v>25</v>
      </c>
      <c r="O10" s="5" t="s">
        <v>33</v>
      </c>
      <c r="P10" s="82">
        <f>COUNTIF(B10:O10,"✔")</f>
        <v>4</v>
      </c>
      <c r="Q10" s="83">
        <f>P10/14</f>
        <v>0.2857142857142857</v>
      </c>
      <c r="R10" s="4" t="s">
        <v>26</v>
      </c>
      <c r="S10" t="s">
        <v>178</v>
      </c>
      <c r="T10" s="51" t="s">
        <v>34</v>
      </c>
      <c r="U10" s="51" t="s">
        <v>40</v>
      </c>
      <c r="V10" s="51" t="s">
        <v>166</v>
      </c>
      <c r="W10" s="51" t="s">
        <v>196</v>
      </c>
      <c r="X10" s="51" t="s">
        <v>192</v>
      </c>
      <c r="Y10" t="s">
        <v>1149</v>
      </c>
      <c r="AD10" t="s">
        <v>899</v>
      </c>
      <c r="AG10" t="s">
        <v>925</v>
      </c>
      <c r="AM10" t="s">
        <v>881</v>
      </c>
    </row>
    <row r="11" spans="1:40" ht="14.45" customHeight="1">
      <c r="A11" s="81" t="s">
        <v>629</v>
      </c>
      <c r="B11" s="49" t="s">
        <v>33</v>
      </c>
      <c r="C11" s="82" t="s">
        <v>25</v>
      </c>
      <c r="D11" s="49" t="s">
        <v>33</v>
      </c>
      <c r="E11" s="82" t="s">
        <v>25</v>
      </c>
      <c r="F11" s="49" t="s">
        <v>33</v>
      </c>
      <c r="G11" s="49" t="s">
        <v>33</v>
      </c>
      <c r="H11" s="49" t="s">
        <v>33</v>
      </c>
      <c r="I11" s="49" t="s">
        <v>33</v>
      </c>
      <c r="J11" s="49" t="s">
        <v>33</v>
      </c>
      <c r="K11" s="49" t="s">
        <v>33</v>
      </c>
      <c r="L11" s="49" t="s">
        <v>33</v>
      </c>
      <c r="M11" s="49" t="s">
        <v>33</v>
      </c>
      <c r="N11" s="49" t="s">
        <v>33</v>
      </c>
      <c r="O11" s="5" t="s">
        <v>33</v>
      </c>
      <c r="P11" s="82">
        <f>COUNTIF(B11:O11,"✔")</f>
        <v>2</v>
      </c>
      <c r="Q11" s="83">
        <f>P11/14</f>
        <v>0.14285714285714285</v>
      </c>
      <c r="R11" s="4" t="s">
        <v>26</v>
      </c>
      <c r="S11" t="s">
        <v>630</v>
      </c>
      <c r="T11" s="51" t="s">
        <v>34</v>
      </c>
      <c r="U11" s="51" t="s">
        <v>29</v>
      </c>
      <c r="V11" s="51" t="s">
        <v>35</v>
      </c>
      <c r="W11" s="51" t="s">
        <v>142</v>
      </c>
      <c r="X11" s="51" t="s">
        <v>143</v>
      </c>
      <c r="Y11" t="s">
        <v>1150</v>
      </c>
      <c r="AD11" t="s">
        <v>879</v>
      </c>
      <c r="AG11" t="s">
        <v>884</v>
      </c>
      <c r="AM11" t="s">
        <v>916</v>
      </c>
      <c r="AN11" t="s">
        <v>142</v>
      </c>
    </row>
    <row r="12" spans="1:40" ht="14.45" customHeight="1">
      <c r="A12" s="57" t="s">
        <v>631</v>
      </c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5"/>
      <c r="R12" s="65"/>
      <c r="S12" s="66"/>
      <c r="T12" s="58"/>
      <c r="U12" s="58"/>
      <c r="V12" s="58"/>
      <c r="W12" s="58"/>
      <c r="X12" s="58"/>
    </row>
    <row r="13" spans="1:40" ht="14.45" customHeight="1">
      <c r="A13" s="81" t="s">
        <v>632</v>
      </c>
      <c r="B13" s="82" t="s">
        <v>25</v>
      </c>
      <c r="C13" s="49" t="s">
        <v>33</v>
      </c>
      <c r="D13" s="49" t="s">
        <v>33</v>
      </c>
      <c r="E13" s="49" t="s">
        <v>33</v>
      </c>
      <c r="F13" s="49" t="s">
        <v>33</v>
      </c>
      <c r="G13" s="49" t="s">
        <v>33</v>
      </c>
      <c r="H13" s="49" t="s">
        <v>33</v>
      </c>
      <c r="I13" s="49" t="s">
        <v>33</v>
      </c>
      <c r="J13" s="49" t="s">
        <v>33</v>
      </c>
      <c r="K13" s="49" t="s">
        <v>33</v>
      </c>
      <c r="L13" s="49" t="s">
        <v>33</v>
      </c>
      <c r="M13" s="49" t="s">
        <v>33</v>
      </c>
      <c r="N13" s="49" t="s">
        <v>33</v>
      </c>
      <c r="O13" s="5" t="s">
        <v>33</v>
      </c>
      <c r="P13" s="82">
        <f>COUNTIF(B13:O13,"✔")</f>
        <v>1</v>
      </c>
      <c r="Q13" s="83">
        <f>P13/14</f>
        <v>7.1428571428571425E-2</v>
      </c>
      <c r="R13" s="4" t="s">
        <v>65</v>
      </c>
      <c r="S13" t="s">
        <v>633</v>
      </c>
      <c r="T13" s="51" t="s">
        <v>34</v>
      </c>
      <c r="U13" s="51" t="s">
        <v>29</v>
      </c>
      <c r="V13" s="51" t="s">
        <v>394</v>
      </c>
      <c r="W13" s="51" t="s">
        <v>85</v>
      </c>
      <c r="X13" s="51" t="s">
        <v>395</v>
      </c>
      <c r="Y13" t="s">
        <v>1151</v>
      </c>
      <c r="AA13" t="s">
        <v>895</v>
      </c>
      <c r="AD13" t="s">
        <v>1012</v>
      </c>
      <c r="AG13" t="s">
        <v>884</v>
      </c>
      <c r="AH13" t="s">
        <v>1013</v>
      </c>
      <c r="AM13" t="s">
        <v>881</v>
      </c>
    </row>
    <row r="14" spans="1:40" ht="14.45" customHeight="1">
      <c r="A14" s="81"/>
      <c r="B14" s="82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82"/>
      <c r="Q14" s="83"/>
      <c r="R14" s="4"/>
      <c r="T14" s="51" t="s">
        <v>34</v>
      </c>
      <c r="U14" s="51" t="s">
        <v>29</v>
      </c>
      <c r="V14" s="51" t="s">
        <v>394</v>
      </c>
      <c r="W14" s="51" t="s">
        <v>599</v>
      </c>
      <c r="X14" s="51" t="s">
        <v>192</v>
      </c>
    </row>
    <row r="15" spans="1:40" ht="14.45" customHeight="1">
      <c r="A15" s="81" t="s">
        <v>634</v>
      </c>
      <c r="B15" s="82" t="s">
        <v>25</v>
      </c>
      <c r="C15" s="49" t="s">
        <v>33</v>
      </c>
      <c r="D15" s="49" t="s">
        <v>33</v>
      </c>
      <c r="E15" s="49" t="s">
        <v>33</v>
      </c>
      <c r="F15" s="49" t="s">
        <v>33</v>
      </c>
      <c r="G15" s="49" t="s">
        <v>33</v>
      </c>
      <c r="H15" s="49" t="s">
        <v>33</v>
      </c>
      <c r="I15" s="49" t="s">
        <v>33</v>
      </c>
      <c r="J15" s="49" t="s">
        <v>33</v>
      </c>
      <c r="K15" s="49" t="s">
        <v>33</v>
      </c>
      <c r="L15" s="49" t="s">
        <v>33</v>
      </c>
      <c r="M15" s="49" t="s">
        <v>33</v>
      </c>
      <c r="N15" s="49" t="s">
        <v>33</v>
      </c>
      <c r="O15" s="5" t="s">
        <v>33</v>
      </c>
      <c r="P15" s="82">
        <f>COUNTIF(B15:O15,"✔")</f>
        <v>1</v>
      </c>
      <c r="Q15" s="83">
        <f>P15/14</f>
        <v>7.1428571428571425E-2</v>
      </c>
      <c r="R15" s="4" t="s">
        <v>65</v>
      </c>
      <c r="S15" t="s">
        <v>633</v>
      </c>
      <c r="T15" s="51" t="s">
        <v>34</v>
      </c>
      <c r="U15" s="51" t="s">
        <v>29</v>
      </c>
      <c r="V15" s="51" t="s">
        <v>394</v>
      </c>
      <c r="W15" s="51" t="s">
        <v>85</v>
      </c>
      <c r="X15" s="51" t="s">
        <v>395</v>
      </c>
      <c r="Y15" t="s">
        <v>1152</v>
      </c>
      <c r="AA15" t="s">
        <v>895</v>
      </c>
      <c r="AD15" t="s">
        <v>1012</v>
      </c>
      <c r="AG15" t="s">
        <v>884</v>
      </c>
      <c r="AH15" t="s">
        <v>1013</v>
      </c>
      <c r="AM15" t="s">
        <v>881</v>
      </c>
    </row>
    <row r="16" spans="1:40" ht="14.45" customHeight="1">
      <c r="A16" s="81"/>
      <c r="B16" s="82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82"/>
      <c r="Q16" s="83"/>
      <c r="R16" s="4"/>
      <c r="T16" s="51" t="s">
        <v>34</v>
      </c>
      <c r="U16" s="51" t="s">
        <v>29</v>
      </c>
      <c r="V16" s="51" t="s">
        <v>394</v>
      </c>
      <c r="W16" s="51" t="s">
        <v>599</v>
      </c>
      <c r="X16" s="51" t="s">
        <v>192</v>
      </c>
    </row>
    <row r="17" spans="1:40" ht="14.45" customHeight="1">
      <c r="A17" s="81" t="s">
        <v>635</v>
      </c>
      <c r="B17" s="82" t="s">
        <v>25</v>
      </c>
      <c r="C17" s="49" t="s">
        <v>33</v>
      </c>
      <c r="D17" s="49" t="s">
        <v>33</v>
      </c>
      <c r="E17" s="49" t="s">
        <v>33</v>
      </c>
      <c r="F17" s="49" t="s">
        <v>33</v>
      </c>
      <c r="G17" s="49" t="s">
        <v>33</v>
      </c>
      <c r="H17" s="49" t="s">
        <v>33</v>
      </c>
      <c r="I17" s="49" t="s">
        <v>33</v>
      </c>
      <c r="J17" s="49" t="s">
        <v>33</v>
      </c>
      <c r="K17" s="49" t="s">
        <v>33</v>
      </c>
      <c r="L17" s="49" t="s">
        <v>33</v>
      </c>
      <c r="M17" s="49" t="s">
        <v>33</v>
      </c>
      <c r="N17" s="49" t="s">
        <v>33</v>
      </c>
      <c r="O17" s="5" t="s">
        <v>33</v>
      </c>
      <c r="P17" s="82">
        <f>COUNTIF(B17:O17,"✔")</f>
        <v>1</v>
      </c>
      <c r="Q17" s="83">
        <f>P17/14</f>
        <v>7.1428571428571425E-2</v>
      </c>
      <c r="R17" s="4" t="s">
        <v>65</v>
      </c>
      <c r="S17" t="s">
        <v>633</v>
      </c>
      <c r="T17" s="51" t="s">
        <v>34</v>
      </c>
      <c r="U17" s="51" t="s">
        <v>29</v>
      </c>
      <c r="V17" s="51" t="s">
        <v>394</v>
      </c>
      <c r="W17" s="51" t="s">
        <v>85</v>
      </c>
      <c r="X17" s="51" t="s">
        <v>395</v>
      </c>
      <c r="Y17" t="s">
        <v>1153</v>
      </c>
      <c r="AA17" t="s">
        <v>895</v>
      </c>
      <c r="AD17" t="s">
        <v>1012</v>
      </c>
      <c r="AG17" t="s">
        <v>884</v>
      </c>
      <c r="AH17" t="s">
        <v>1013</v>
      </c>
      <c r="AM17" t="s">
        <v>881</v>
      </c>
    </row>
    <row r="18" spans="1:40" ht="14.45" customHeight="1">
      <c r="A18" s="81"/>
      <c r="B18" s="82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82"/>
      <c r="Q18" s="83"/>
      <c r="R18" s="4"/>
      <c r="T18" s="51" t="s">
        <v>34</v>
      </c>
      <c r="U18" s="51" t="s">
        <v>29</v>
      </c>
      <c r="V18" s="51" t="s">
        <v>394</v>
      </c>
      <c r="W18" s="51" t="s">
        <v>599</v>
      </c>
      <c r="X18" s="51" t="s">
        <v>192</v>
      </c>
    </row>
    <row r="19" spans="1:40" ht="14.45" customHeight="1">
      <c r="A19" s="81" t="s">
        <v>636</v>
      </c>
      <c r="B19" s="49" t="s">
        <v>33</v>
      </c>
      <c r="C19" s="49" t="s">
        <v>33</v>
      </c>
      <c r="D19" s="82" t="s">
        <v>25</v>
      </c>
      <c r="E19" s="49" t="s">
        <v>33</v>
      </c>
      <c r="F19" s="82" t="s">
        <v>25</v>
      </c>
      <c r="G19" s="49" t="s">
        <v>33</v>
      </c>
      <c r="H19" s="49" t="s">
        <v>33</v>
      </c>
      <c r="I19" s="82" t="s">
        <v>25</v>
      </c>
      <c r="J19" s="49" t="s">
        <v>33</v>
      </c>
      <c r="K19" s="49" t="s">
        <v>33</v>
      </c>
      <c r="L19" s="49" t="s">
        <v>33</v>
      </c>
      <c r="M19" s="49" t="s">
        <v>33</v>
      </c>
      <c r="N19" s="49" t="s">
        <v>33</v>
      </c>
      <c r="O19" s="5" t="s">
        <v>33</v>
      </c>
      <c r="P19" s="82">
        <f>COUNTIF(B19:O19,"✔")</f>
        <v>3</v>
      </c>
      <c r="Q19" s="83">
        <f>P19/14</f>
        <v>0.21428571428571427</v>
      </c>
      <c r="R19" s="4" t="s">
        <v>65</v>
      </c>
      <c r="S19" t="s">
        <v>633</v>
      </c>
      <c r="T19" s="51" t="s">
        <v>34</v>
      </c>
      <c r="U19" s="51" t="s">
        <v>29</v>
      </c>
      <c r="V19" s="51" t="s">
        <v>394</v>
      </c>
      <c r="W19" s="51" t="s">
        <v>85</v>
      </c>
      <c r="X19" s="51" t="s">
        <v>395</v>
      </c>
      <c r="Y19" t="s">
        <v>1154</v>
      </c>
      <c r="AA19" t="s">
        <v>895</v>
      </c>
      <c r="AD19" t="s">
        <v>1012</v>
      </c>
      <c r="AG19" t="s">
        <v>884</v>
      </c>
      <c r="AH19" t="s">
        <v>1013</v>
      </c>
      <c r="AM19" t="s">
        <v>881</v>
      </c>
    </row>
    <row r="20" spans="1:40" ht="14.45" customHeight="1">
      <c r="A20" s="81"/>
      <c r="B20" s="49"/>
      <c r="C20" s="49"/>
      <c r="D20" s="82"/>
      <c r="E20" s="49"/>
      <c r="F20" s="82"/>
      <c r="G20" s="49"/>
      <c r="H20" s="49"/>
      <c r="I20" s="82"/>
      <c r="J20" s="49"/>
      <c r="K20" s="49"/>
      <c r="L20" s="49"/>
      <c r="M20" s="49"/>
      <c r="N20" s="49"/>
      <c r="O20" s="49"/>
      <c r="P20" s="82"/>
      <c r="Q20" s="83"/>
      <c r="R20" s="4"/>
      <c r="T20" s="51" t="s">
        <v>34</v>
      </c>
      <c r="U20" s="51" t="s">
        <v>29</v>
      </c>
      <c r="V20" s="51" t="s">
        <v>394</v>
      </c>
      <c r="W20" s="51" t="s">
        <v>599</v>
      </c>
      <c r="X20" s="51" t="s">
        <v>192</v>
      </c>
    </row>
    <row r="21" spans="1:40" ht="14.45" customHeight="1">
      <c r="A21" s="81" t="s">
        <v>637</v>
      </c>
      <c r="B21" s="49" t="s">
        <v>33</v>
      </c>
      <c r="C21" s="49" t="s">
        <v>33</v>
      </c>
      <c r="D21" s="49" t="s">
        <v>33</v>
      </c>
      <c r="E21" s="49" t="s">
        <v>33</v>
      </c>
      <c r="F21" s="49" t="s">
        <v>33</v>
      </c>
      <c r="G21" s="82" t="s">
        <v>25</v>
      </c>
      <c r="H21" s="49" t="s">
        <v>33</v>
      </c>
      <c r="I21" s="49" t="s">
        <v>33</v>
      </c>
      <c r="J21" s="49" t="s">
        <v>33</v>
      </c>
      <c r="K21" s="49" t="s">
        <v>33</v>
      </c>
      <c r="L21" s="49" t="s">
        <v>33</v>
      </c>
      <c r="M21" s="82" t="s">
        <v>25</v>
      </c>
      <c r="N21" s="49" t="s">
        <v>33</v>
      </c>
      <c r="O21" s="5" t="s">
        <v>33</v>
      </c>
      <c r="P21" s="82">
        <f>COUNTIF(B21:O21,"✔")</f>
        <v>2</v>
      </c>
      <c r="Q21" s="83">
        <f>P21/14</f>
        <v>0.14285714285714285</v>
      </c>
      <c r="R21" s="4" t="s">
        <v>26</v>
      </c>
      <c r="S21" t="s">
        <v>638</v>
      </c>
      <c r="T21" s="51" t="s">
        <v>34</v>
      </c>
      <c r="U21" s="51" t="s">
        <v>29</v>
      </c>
      <c r="V21" s="51" t="s">
        <v>394</v>
      </c>
      <c r="W21" s="51" t="s">
        <v>85</v>
      </c>
      <c r="X21" s="51" t="s">
        <v>395</v>
      </c>
      <c r="Y21" t="s">
        <v>1155</v>
      </c>
      <c r="AD21" t="s">
        <v>1012</v>
      </c>
      <c r="AG21" t="s">
        <v>884</v>
      </c>
      <c r="AH21" t="s">
        <v>1013</v>
      </c>
      <c r="AM21" t="s">
        <v>881</v>
      </c>
    </row>
    <row r="22" spans="1:40" ht="14.45" customHeight="1">
      <c r="A22" s="81"/>
      <c r="B22" s="49"/>
      <c r="C22" s="49"/>
      <c r="D22" s="49"/>
      <c r="E22" s="49"/>
      <c r="F22" s="49"/>
      <c r="G22" s="82"/>
      <c r="H22" s="49"/>
      <c r="I22" s="49"/>
      <c r="J22" s="49"/>
      <c r="K22" s="49"/>
      <c r="L22" s="49"/>
      <c r="M22" s="82"/>
      <c r="N22" s="49"/>
      <c r="O22" s="49"/>
      <c r="P22" s="82"/>
      <c r="Q22" s="83"/>
      <c r="R22" s="4"/>
      <c r="T22" s="51" t="s">
        <v>34</v>
      </c>
      <c r="U22" s="51" t="s">
        <v>29</v>
      </c>
      <c r="V22" s="51" t="s">
        <v>394</v>
      </c>
      <c r="W22" s="51" t="s">
        <v>599</v>
      </c>
      <c r="X22" s="51" t="s">
        <v>192</v>
      </c>
    </row>
    <row r="23" spans="1:40" ht="14.45" customHeight="1">
      <c r="A23" s="81" t="s">
        <v>639</v>
      </c>
      <c r="B23" s="82" t="s">
        <v>25</v>
      </c>
      <c r="C23" s="49" t="s">
        <v>33</v>
      </c>
      <c r="D23" s="49" t="s">
        <v>33</v>
      </c>
      <c r="E23" s="49" t="s">
        <v>33</v>
      </c>
      <c r="F23" s="49" t="s">
        <v>33</v>
      </c>
      <c r="G23" s="49" t="s">
        <v>33</v>
      </c>
      <c r="H23" s="49" t="s">
        <v>33</v>
      </c>
      <c r="I23" s="49" t="s">
        <v>33</v>
      </c>
      <c r="J23" s="49" t="s">
        <v>33</v>
      </c>
      <c r="K23" s="49" t="s">
        <v>33</v>
      </c>
      <c r="L23" s="49" t="s">
        <v>33</v>
      </c>
      <c r="M23" s="49" t="s">
        <v>33</v>
      </c>
      <c r="N23" s="49" t="s">
        <v>33</v>
      </c>
      <c r="O23" s="5" t="s">
        <v>33</v>
      </c>
      <c r="P23" s="82">
        <f>COUNTIF(B23:O23,"✔")</f>
        <v>1</v>
      </c>
      <c r="Q23" s="83">
        <f>P23/14</f>
        <v>7.1428571428571425E-2</v>
      </c>
      <c r="R23" s="4" t="s">
        <v>65</v>
      </c>
      <c r="S23" t="s">
        <v>640</v>
      </c>
      <c r="T23" s="51" t="s">
        <v>34</v>
      </c>
      <c r="U23" s="51" t="s">
        <v>29</v>
      </c>
      <c r="V23" s="51" t="s">
        <v>35</v>
      </c>
      <c r="W23" s="51" t="s">
        <v>142</v>
      </c>
      <c r="X23" s="51" t="s">
        <v>143</v>
      </c>
      <c r="Y23" t="s">
        <v>1156</v>
      </c>
      <c r="AA23" t="s">
        <v>895</v>
      </c>
      <c r="AD23" t="s">
        <v>879</v>
      </c>
      <c r="AG23" t="s">
        <v>884</v>
      </c>
      <c r="AM23" t="s">
        <v>916</v>
      </c>
      <c r="AN23" t="s">
        <v>142</v>
      </c>
    </row>
    <row r="24" spans="1:40" ht="14.45" customHeight="1">
      <c r="A24" s="57" t="s">
        <v>641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5"/>
      <c r="R24" s="65"/>
      <c r="S24" s="66"/>
      <c r="T24" s="58"/>
      <c r="U24" s="58"/>
      <c r="V24" s="58"/>
      <c r="W24" s="58"/>
      <c r="X24" s="58"/>
    </row>
    <row r="25" spans="1:40" ht="14.45" customHeight="1">
      <c r="A25" s="81" t="s">
        <v>642</v>
      </c>
      <c r="B25" s="49" t="s">
        <v>33</v>
      </c>
      <c r="C25" s="49" t="s">
        <v>33</v>
      </c>
      <c r="D25" s="49" t="s">
        <v>33</v>
      </c>
      <c r="E25" s="49" t="s">
        <v>33</v>
      </c>
      <c r="F25" s="82" t="s">
        <v>25</v>
      </c>
      <c r="G25" s="49" t="s">
        <v>33</v>
      </c>
      <c r="H25" s="49" t="s">
        <v>33</v>
      </c>
      <c r="I25" s="49" t="s">
        <v>33</v>
      </c>
      <c r="J25" s="49" t="s">
        <v>33</v>
      </c>
      <c r="K25" s="49" t="s">
        <v>33</v>
      </c>
      <c r="L25" s="49" t="s">
        <v>33</v>
      </c>
      <c r="M25" s="49" t="s">
        <v>33</v>
      </c>
      <c r="N25" s="49" t="s">
        <v>33</v>
      </c>
      <c r="O25" s="5" t="s">
        <v>33</v>
      </c>
      <c r="P25" s="82">
        <f>COUNTIF(B25:O25,"✔")</f>
        <v>1</v>
      </c>
      <c r="Q25" s="83">
        <f>P25/14</f>
        <v>7.1428571428571425E-2</v>
      </c>
      <c r="R25" s="4" t="s">
        <v>65</v>
      </c>
      <c r="S25" t="s">
        <v>643</v>
      </c>
      <c r="T25" s="51" t="s">
        <v>34</v>
      </c>
      <c r="U25" s="51" t="s">
        <v>29</v>
      </c>
      <c r="V25" s="51" t="s">
        <v>394</v>
      </c>
      <c r="W25" s="51" t="s">
        <v>85</v>
      </c>
      <c r="X25" s="51" t="s">
        <v>395</v>
      </c>
      <c r="Y25" t="s">
        <v>1157</v>
      </c>
      <c r="AA25" t="s">
        <v>895</v>
      </c>
      <c r="AD25" t="s">
        <v>1012</v>
      </c>
      <c r="AG25" t="s">
        <v>884</v>
      </c>
      <c r="AH25" t="s">
        <v>1013</v>
      </c>
      <c r="AM25" t="s">
        <v>881</v>
      </c>
    </row>
    <row r="26" spans="1:40" ht="14.45" customHeight="1">
      <c r="A26" s="81"/>
      <c r="B26" s="49"/>
      <c r="C26" s="49"/>
      <c r="D26" s="49"/>
      <c r="E26" s="49"/>
      <c r="F26" s="82"/>
      <c r="G26" s="49"/>
      <c r="H26" s="49"/>
      <c r="I26" s="49"/>
      <c r="J26" s="49"/>
      <c r="K26" s="49"/>
      <c r="L26" s="49"/>
      <c r="M26" s="49"/>
      <c r="N26" s="49"/>
      <c r="O26" s="49"/>
      <c r="P26" s="82"/>
      <c r="Q26" s="83"/>
      <c r="R26" s="4"/>
      <c r="T26" s="51" t="s">
        <v>34</v>
      </c>
      <c r="U26" s="51" t="s">
        <v>29</v>
      </c>
      <c r="V26" s="51" t="s">
        <v>394</v>
      </c>
      <c r="W26" s="51" t="s">
        <v>599</v>
      </c>
      <c r="X26" s="51" t="s">
        <v>192</v>
      </c>
    </row>
    <row r="27" spans="1:40" ht="14.45" customHeight="1">
      <c r="A27" s="81" t="s">
        <v>644</v>
      </c>
      <c r="B27" s="49" t="s">
        <v>33</v>
      </c>
      <c r="C27" s="49" t="s">
        <v>33</v>
      </c>
      <c r="D27" s="49" t="s">
        <v>33</v>
      </c>
      <c r="E27" s="49" t="s">
        <v>33</v>
      </c>
      <c r="F27" s="82" t="s">
        <v>25</v>
      </c>
      <c r="G27" s="49" t="s">
        <v>33</v>
      </c>
      <c r="H27" s="49" t="s">
        <v>33</v>
      </c>
      <c r="I27" s="49" t="s">
        <v>33</v>
      </c>
      <c r="J27" s="49" t="s">
        <v>33</v>
      </c>
      <c r="K27" s="49" t="s">
        <v>33</v>
      </c>
      <c r="L27" s="49" t="s">
        <v>33</v>
      </c>
      <c r="M27" s="49" t="s">
        <v>33</v>
      </c>
      <c r="N27" s="49" t="s">
        <v>33</v>
      </c>
      <c r="O27" s="5" t="s">
        <v>33</v>
      </c>
      <c r="P27" s="82">
        <f>COUNTIF(B27:O27,"✔")</f>
        <v>1</v>
      </c>
      <c r="Q27" s="83">
        <f>P27/14</f>
        <v>7.1428571428571425E-2</v>
      </c>
      <c r="R27" s="4" t="s">
        <v>65</v>
      </c>
      <c r="S27" t="s">
        <v>645</v>
      </c>
      <c r="T27" s="51" t="s">
        <v>34</v>
      </c>
      <c r="U27" s="51" t="s">
        <v>29</v>
      </c>
      <c r="V27" s="51" t="s">
        <v>394</v>
      </c>
      <c r="W27" s="51" t="s">
        <v>85</v>
      </c>
      <c r="X27" s="51" t="s">
        <v>395</v>
      </c>
      <c r="Y27" t="s">
        <v>1158</v>
      </c>
      <c r="AA27" t="s">
        <v>895</v>
      </c>
      <c r="AD27" t="s">
        <v>1012</v>
      </c>
      <c r="AG27" t="s">
        <v>884</v>
      </c>
      <c r="AH27" t="s">
        <v>1013</v>
      </c>
      <c r="AM27" t="s">
        <v>881</v>
      </c>
    </row>
    <row r="28" spans="1:40" ht="14.45" customHeight="1">
      <c r="A28" s="81"/>
      <c r="B28" s="49"/>
      <c r="C28" s="49"/>
      <c r="D28" s="49"/>
      <c r="E28" s="49"/>
      <c r="F28" s="82"/>
      <c r="G28" s="49"/>
      <c r="H28" s="49"/>
      <c r="I28" s="49"/>
      <c r="J28" s="49"/>
      <c r="K28" s="49"/>
      <c r="L28" s="49"/>
      <c r="M28" s="49"/>
      <c r="N28" s="49"/>
      <c r="O28" s="49"/>
      <c r="P28" s="82"/>
      <c r="Q28" s="83"/>
      <c r="R28" s="4"/>
      <c r="T28" s="51" t="s">
        <v>34</v>
      </c>
      <c r="U28" s="51" t="s">
        <v>29</v>
      </c>
      <c r="V28" s="51" t="s">
        <v>394</v>
      </c>
      <c r="W28" s="51" t="s">
        <v>599</v>
      </c>
      <c r="X28" s="51" t="s">
        <v>192</v>
      </c>
    </row>
  </sheetData>
  <dataValidations count="7">
    <dataValidation type="list" allowBlank="1" showInputMessage="1" sqref="AA2:AA28" xr:uid="{0D1B0FD0-A976-4A4E-9598-4D3B89FFB5A3}">
      <mc:AlternateContent xmlns:x12ac="http://schemas.microsoft.com/office/spreadsheetml/2011/1/ac" xmlns:mc="http://schemas.openxmlformats.org/markup-compatibility/2006">
        <mc:Choice Requires="x12ac">
          <x12ac:list>"Mandatory,Optional,Out of scope,N/A"</x12ac:list>
        </mc:Choice>
        <mc:Fallback>
          <formula1>"Mandatory,Optional,Out of scope,N/A"</formula1>
        </mc:Fallback>
      </mc:AlternateContent>
    </dataValidation>
    <dataValidation type="list" allowBlank="1" showInputMessage="1" sqref="AD2:AD28" xr:uid="{735285ED-A753-401B-B815-4EE90E9F3926}">
      <mc:AlternateContent xmlns:x12ac="http://schemas.microsoft.com/office/spreadsheetml/2011/1/ac" xmlns:mc="http://schemas.openxmlformats.org/markup-compatibility/2006">
        <mc:Choice Requires="x12ac">
          <x12ac:list>"numeric,categorical,boolean,date,text,document,geometry,time series,reference,composite"</x12ac:list>
        </mc:Choice>
        <mc:Fallback>
          <formula1>"numeric,categorical,boolean,date,text,document,geometry,time series,reference,composite"</formula1>
        </mc:Fallback>
      </mc:AlternateContent>
    </dataValidation>
    <dataValidation type="list" allowBlank="1" showInputMessage="1" sqref="AG2:AG28" xr:uid="{6D488A6E-2C97-476D-BF98-2C74242D8DA8}">
      <mc:AlternateContent xmlns:x12ac="http://schemas.microsoft.com/office/spreadsheetml/2011/1/ac" xmlns:mc="http://schemas.openxmlformats.org/markup-compatibility/2006">
        <mc:Choice Requires="x12ac">
          <x12ac:list>"building,unit,zone,component,site / context,any level"</x12ac:list>
        </mc:Choice>
        <mc:Fallback>
          <formula1>"building,unit,zone,component,site / context,any level"</formula1>
        </mc:Fallback>
      </mc:AlternateContent>
    </dataValidation>
    <dataValidation type="list" allowBlank="1" showInputMessage="1" sqref="AH2:AH28" xr:uid="{BA165A02-AD19-4CCD-8E60-6DF790CAA748}">
      <mc:AlternateContent xmlns:x12ac="http://schemas.microsoft.com/office/spreadsheetml/2011/1/ac" xmlns:mc="http://schemas.openxmlformats.org/markup-compatibility/2006">
        <mc:Choice Requires="x12ac">
          <x12ac:list>"static,historical,periodic,real-time"</x12ac:list>
        </mc:Choice>
        <mc:Fallback>
          <formula1>"static,historical,periodic,real-time"</formula1>
        </mc:Fallback>
      </mc:AlternateContent>
    </dataValidation>
    <dataValidation type="list" allowBlank="1" showInputMessage="1" sqref="AI2:AI28" xr:uid="{5A203D73-55EE-4177-AEE2-D2347EAAB1EA}">
      <mc:AlternateContent xmlns:x12ac="http://schemas.microsoft.com/office/spreadsheetml/2011/1/ac" xmlns:mc="http://schemas.openxmlformats.org/markup-compatibility/2006">
        <mc:Choice Requires="x12ac">
          <x12ac:list>"Public,Restricted,Personal data (GDPR),Commercially sensitive"</x12ac:list>
        </mc:Choice>
        <mc:Fallback>
          <formula1>"Public,Restricted,Personal data (GDPR),Commercially sensitive"</formula1>
        </mc:Fallback>
      </mc:AlternateContent>
    </dataValidation>
    <dataValidation type="list" allowBlank="1" showInputMessage="1" sqref="AL2:AL28" xr:uid="{E4063665-2A2A-4ACC-9B9A-7ECCC75AB85D}">
      <mc:AlternateContent xmlns:x12ac="http://schemas.microsoft.com/office/spreadsheetml/2011/1/ac" xmlns:mc="http://schemas.openxmlformats.org/markup-compatibility/2006">
        <mc:Choice Requires="x12ac">
          <x12ac:list>"open data,API,manual input,inspection,derived"</x12ac:list>
        </mc:Choice>
        <mc:Fallback>
          <formula1>"open data,API,manual input,inspection,derived"</formula1>
        </mc:Fallback>
      </mc:AlternateContent>
    </dataValidation>
    <dataValidation type="list" allowBlank="1" showInputMessage="1" sqref="AM2:AM28" xr:uid="{3477FD0A-FE20-4909-AD17-54AECB648E46}">
      <mc:AlternateContent xmlns:x12ac="http://schemas.microsoft.com/office/spreadsheetml/2011/1/ac" xmlns:mc="http://schemas.openxmlformats.org/markup-compatibility/2006">
        <mc:Choice Requires="x12ac">
          <x12ac:list>"Native,Workaround,Extension needed,Out of scope,N/A"</x12ac:list>
        </mc:Choice>
        <mc:Fallback>
          <formula1>"Native,Workaround,Extension needed,Out of scope,N/A"</formula1>
        </mc:Fallback>
      </mc:AlternateContent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0"/>
  <dimension ref="A1:AN10"/>
  <sheetViews>
    <sheetView zoomScale="85" zoomScaleNormal="85" workbookViewId="0">
      <pane xSplit="1" topLeftCell="L1" activePane="topRight" state="frozen"/>
      <selection pane="topRight" activeCell="S16" sqref="S16"/>
    </sheetView>
  </sheetViews>
  <sheetFormatPr defaultRowHeight="15" customHeight="1"/>
  <cols>
    <col min="1" max="1" width="50.7109375" customWidth="1"/>
    <col min="2" max="18" width="13.7109375" customWidth="1"/>
    <col min="19" max="22" width="20.7109375" customWidth="1"/>
    <col min="25" max="40" width="16.7109375" customWidth="1"/>
  </cols>
  <sheetData>
    <row r="1" spans="1:40" ht="75" customHeight="1">
      <c r="A1" s="87" t="s">
        <v>855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67" t="s">
        <v>17</v>
      </c>
      <c r="S1" s="67" t="s">
        <v>18</v>
      </c>
      <c r="T1" s="78" t="s">
        <v>19</v>
      </c>
      <c r="U1" s="78" t="s">
        <v>646</v>
      </c>
      <c r="V1" s="77" t="s">
        <v>21</v>
      </c>
      <c r="W1" s="77" t="s">
        <v>22</v>
      </c>
      <c r="X1" s="77" t="s">
        <v>23</v>
      </c>
      <c r="Y1" s="77" t="s">
        <v>862</v>
      </c>
      <c r="Z1" s="77" t="s">
        <v>863</v>
      </c>
      <c r="AA1" s="77" t="s">
        <v>864</v>
      </c>
      <c r="AB1" s="77" t="s">
        <v>865</v>
      </c>
      <c r="AC1" s="77" t="s">
        <v>866</v>
      </c>
      <c r="AD1" s="77" t="s">
        <v>867</v>
      </c>
      <c r="AE1" s="77" t="s">
        <v>868</v>
      </c>
      <c r="AF1" s="77" t="s">
        <v>869</v>
      </c>
      <c r="AG1" s="77" t="s">
        <v>870</v>
      </c>
      <c r="AH1" s="77" t="s">
        <v>871</v>
      </c>
      <c r="AI1" s="77" t="s">
        <v>872</v>
      </c>
      <c r="AJ1" s="77" t="s">
        <v>873</v>
      </c>
      <c r="AK1" s="77" t="s">
        <v>874</v>
      </c>
      <c r="AL1" s="77" t="s">
        <v>875</v>
      </c>
      <c r="AM1" s="77" t="s">
        <v>876</v>
      </c>
      <c r="AN1" s="77" t="s">
        <v>877</v>
      </c>
    </row>
    <row r="2" spans="1:40" ht="14.45" customHeight="1">
      <c r="A2" s="57" t="s">
        <v>647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65"/>
      <c r="S2" s="66"/>
      <c r="T2" s="58"/>
      <c r="U2" s="58"/>
      <c r="V2" s="58"/>
      <c r="W2" s="58"/>
      <c r="X2" s="58"/>
    </row>
    <row r="3" spans="1:40" ht="14.45" customHeight="1">
      <c r="A3" s="81" t="s">
        <v>648</v>
      </c>
      <c r="B3" s="82" t="s">
        <v>25</v>
      </c>
      <c r="C3" s="82" t="s">
        <v>25</v>
      </c>
      <c r="D3" s="49" t="s">
        <v>33</v>
      </c>
      <c r="E3" s="49" t="s">
        <v>33</v>
      </c>
      <c r="F3" s="49" t="s">
        <v>33</v>
      </c>
      <c r="G3" s="49" t="s">
        <v>33</v>
      </c>
      <c r="H3" s="49" t="s">
        <v>33</v>
      </c>
      <c r="I3" s="49" t="s">
        <v>33</v>
      </c>
      <c r="J3" s="49" t="s">
        <v>33</v>
      </c>
      <c r="K3" s="49" t="s">
        <v>33</v>
      </c>
      <c r="L3" s="49" t="s">
        <v>33</v>
      </c>
      <c r="M3" s="49"/>
      <c r="N3" s="49" t="s">
        <v>33</v>
      </c>
      <c r="O3" s="5" t="s">
        <v>33</v>
      </c>
      <c r="P3" s="82">
        <f>COUNTIF(B3:O3,"✔")</f>
        <v>2</v>
      </c>
      <c r="Q3" s="83">
        <f>P3/14</f>
        <v>0.14285714285714285</v>
      </c>
      <c r="R3" s="4" t="s">
        <v>26</v>
      </c>
      <c r="S3" t="s">
        <v>605</v>
      </c>
      <c r="T3" s="51" t="s">
        <v>34</v>
      </c>
      <c r="U3" s="51" t="s">
        <v>29</v>
      </c>
      <c r="V3" s="51" t="s">
        <v>35</v>
      </c>
      <c r="W3" s="51" t="s">
        <v>142</v>
      </c>
      <c r="X3" s="51" t="s">
        <v>143</v>
      </c>
      <c r="Y3" t="s">
        <v>1159</v>
      </c>
      <c r="AD3" t="s">
        <v>879</v>
      </c>
      <c r="AG3" t="s">
        <v>884</v>
      </c>
      <c r="AM3" t="s">
        <v>916</v>
      </c>
      <c r="AN3" t="s">
        <v>142</v>
      </c>
    </row>
    <row r="4" spans="1:40" ht="14.45" customHeight="1">
      <c r="A4" s="81" t="s">
        <v>649</v>
      </c>
      <c r="B4" s="49" t="s">
        <v>33</v>
      </c>
      <c r="C4" s="82" t="s">
        <v>25</v>
      </c>
      <c r="D4" s="82" t="s">
        <v>25</v>
      </c>
      <c r="E4" s="49" t="s">
        <v>33</v>
      </c>
      <c r="F4" s="49" t="s">
        <v>33</v>
      </c>
      <c r="G4" s="49" t="s">
        <v>33</v>
      </c>
      <c r="H4" s="49" t="s">
        <v>33</v>
      </c>
      <c r="I4" s="49" t="s">
        <v>33</v>
      </c>
      <c r="J4" s="49" t="s">
        <v>33</v>
      </c>
      <c r="K4" s="49" t="s">
        <v>33</v>
      </c>
      <c r="L4" s="49" t="s">
        <v>33</v>
      </c>
      <c r="M4" s="49"/>
      <c r="N4" s="49" t="s">
        <v>33</v>
      </c>
      <c r="O4" s="5" t="s">
        <v>33</v>
      </c>
      <c r="P4" s="82">
        <f>COUNTIF(B4:O4,"✔")</f>
        <v>2</v>
      </c>
      <c r="Q4" s="83">
        <f>P4/14</f>
        <v>0.14285714285714285</v>
      </c>
      <c r="R4" s="4" t="s">
        <v>26</v>
      </c>
      <c r="S4" t="s">
        <v>605</v>
      </c>
      <c r="T4" s="51" t="s">
        <v>34</v>
      </c>
      <c r="U4" s="51" t="s">
        <v>29</v>
      </c>
      <c r="V4" s="51" t="s">
        <v>394</v>
      </c>
      <c r="W4" s="51" t="s">
        <v>85</v>
      </c>
      <c r="X4" s="51" t="s">
        <v>395</v>
      </c>
      <c r="Y4" t="s">
        <v>1160</v>
      </c>
      <c r="AD4" t="s">
        <v>1012</v>
      </c>
      <c r="AG4" t="s">
        <v>884</v>
      </c>
      <c r="AH4" t="s">
        <v>1013</v>
      </c>
      <c r="AM4" t="s">
        <v>881</v>
      </c>
    </row>
    <row r="5" spans="1:40" ht="14.45" customHeight="1">
      <c r="A5" s="81"/>
      <c r="B5" s="49"/>
      <c r="C5" s="82"/>
      <c r="D5" s="82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82"/>
      <c r="Q5" s="83"/>
      <c r="R5" s="4"/>
      <c r="T5" s="51" t="s">
        <v>34</v>
      </c>
      <c r="U5" s="51" t="s">
        <v>29</v>
      </c>
      <c r="V5" s="51" t="s">
        <v>394</v>
      </c>
      <c r="W5" s="51" t="s">
        <v>599</v>
      </c>
      <c r="X5" s="51" t="s">
        <v>192</v>
      </c>
    </row>
    <row r="6" spans="1:40" ht="14.45" customHeight="1">
      <c r="A6" s="81" t="s">
        <v>650</v>
      </c>
      <c r="B6" s="49" t="s">
        <v>33</v>
      </c>
      <c r="C6" s="49" t="s">
        <v>33</v>
      </c>
      <c r="D6" s="49" t="s">
        <v>33</v>
      </c>
      <c r="E6" s="49" t="s">
        <v>33</v>
      </c>
      <c r="F6" s="82" t="s">
        <v>25</v>
      </c>
      <c r="G6" s="49" t="s">
        <v>33</v>
      </c>
      <c r="H6" s="49" t="s">
        <v>33</v>
      </c>
      <c r="I6" s="49" t="s">
        <v>33</v>
      </c>
      <c r="J6" s="49" t="s">
        <v>33</v>
      </c>
      <c r="K6" s="49" t="s">
        <v>33</v>
      </c>
      <c r="L6" s="49" t="s">
        <v>33</v>
      </c>
      <c r="M6" s="49"/>
      <c r="N6" s="49" t="s">
        <v>33</v>
      </c>
      <c r="O6" s="5" t="s">
        <v>33</v>
      </c>
      <c r="P6" s="82">
        <f>COUNTIF(B6:O6,"✔")</f>
        <v>1</v>
      </c>
      <c r="Q6" s="83">
        <f>P6/14</f>
        <v>7.1428571428571425E-2</v>
      </c>
      <c r="R6" s="4" t="s">
        <v>65</v>
      </c>
      <c r="S6" t="s">
        <v>643</v>
      </c>
      <c r="T6" s="51" t="s">
        <v>34</v>
      </c>
      <c r="U6" s="51" t="s">
        <v>29</v>
      </c>
      <c r="V6" s="51" t="s">
        <v>35</v>
      </c>
      <c r="W6" s="51" t="s">
        <v>142</v>
      </c>
      <c r="X6" s="51" t="s">
        <v>143</v>
      </c>
      <c r="Y6" t="s">
        <v>1161</v>
      </c>
      <c r="AA6" t="s">
        <v>895</v>
      </c>
      <c r="AD6" t="s">
        <v>879</v>
      </c>
      <c r="AG6" t="s">
        <v>884</v>
      </c>
      <c r="AM6" t="s">
        <v>916</v>
      </c>
      <c r="AN6" t="s">
        <v>142</v>
      </c>
    </row>
    <row r="7" spans="1:40" ht="14.45" customHeight="1">
      <c r="A7" s="57" t="s">
        <v>651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5"/>
      <c r="R7" s="65"/>
      <c r="S7" s="66"/>
      <c r="T7" s="58"/>
      <c r="U7" s="58"/>
      <c r="V7" s="58"/>
      <c r="W7" s="58"/>
      <c r="X7" s="58"/>
    </row>
    <row r="8" spans="1:40" ht="14.45" customHeight="1">
      <c r="A8" s="81" t="s">
        <v>652</v>
      </c>
      <c r="B8" s="82" t="s">
        <v>25</v>
      </c>
      <c r="C8" s="49" t="s">
        <v>33</v>
      </c>
      <c r="D8" s="49" t="s">
        <v>33</v>
      </c>
      <c r="E8" s="49" t="s">
        <v>33</v>
      </c>
      <c r="F8" s="49" t="s">
        <v>33</v>
      </c>
      <c r="G8" s="82" t="s">
        <v>25</v>
      </c>
      <c r="H8" s="49" t="s">
        <v>33</v>
      </c>
      <c r="I8" s="82" t="s">
        <v>25</v>
      </c>
      <c r="J8" s="82" t="s">
        <v>25</v>
      </c>
      <c r="K8" s="82" t="s">
        <v>25</v>
      </c>
      <c r="L8" s="49" t="s">
        <v>33</v>
      </c>
      <c r="M8" s="49"/>
      <c r="N8" s="82" t="s">
        <v>25</v>
      </c>
      <c r="O8" s="5" t="s">
        <v>33</v>
      </c>
      <c r="P8" s="82">
        <f>COUNTIF(B8:O8,"✔")</f>
        <v>6</v>
      </c>
      <c r="Q8" s="83">
        <f>P8/14</f>
        <v>0.42857142857142855</v>
      </c>
      <c r="R8" s="4" t="s">
        <v>26</v>
      </c>
      <c r="S8" t="s">
        <v>653</v>
      </c>
      <c r="T8" s="51" t="s">
        <v>34</v>
      </c>
      <c r="U8" s="51" t="s">
        <v>172</v>
      </c>
      <c r="V8" s="51" t="s">
        <v>654</v>
      </c>
      <c r="W8" s="51" t="s">
        <v>381</v>
      </c>
      <c r="X8" s="51" t="s">
        <v>43</v>
      </c>
      <c r="Y8" t="s">
        <v>1162</v>
      </c>
      <c r="AD8" t="s">
        <v>886</v>
      </c>
      <c r="AG8" t="s">
        <v>910</v>
      </c>
      <c r="AM8" t="s">
        <v>881</v>
      </c>
    </row>
    <row r="9" spans="1:40" ht="14.45" customHeight="1">
      <c r="A9" s="81" t="s">
        <v>655</v>
      </c>
      <c r="B9" s="49" t="s">
        <v>33</v>
      </c>
      <c r="C9" s="49" t="s">
        <v>33</v>
      </c>
      <c r="D9" s="49" t="s">
        <v>33</v>
      </c>
      <c r="E9" s="49" t="s">
        <v>33</v>
      </c>
      <c r="F9" s="49" t="s">
        <v>33</v>
      </c>
      <c r="G9" s="49" t="s">
        <v>33</v>
      </c>
      <c r="H9" s="49" t="s">
        <v>33</v>
      </c>
      <c r="I9" s="49" t="s">
        <v>33</v>
      </c>
      <c r="J9" s="49" t="s">
        <v>33</v>
      </c>
      <c r="K9" s="82" t="s">
        <v>25</v>
      </c>
      <c r="L9" s="49" t="s">
        <v>33</v>
      </c>
      <c r="M9" s="49"/>
      <c r="N9" s="49" t="s">
        <v>33</v>
      </c>
      <c r="O9" s="5" t="s">
        <v>33</v>
      </c>
      <c r="P9" s="82">
        <f>COUNTIF(B9:O9,"✔")</f>
        <v>1</v>
      </c>
      <c r="Q9" s="83">
        <f>P9/14</f>
        <v>7.1428571428571425E-2</v>
      </c>
      <c r="R9" s="4" t="s">
        <v>26</v>
      </c>
      <c r="S9" t="s">
        <v>351</v>
      </c>
      <c r="T9" s="51" t="s">
        <v>34</v>
      </c>
      <c r="U9" s="51" t="s">
        <v>172</v>
      </c>
      <c r="V9" s="51" t="s">
        <v>654</v>
      </c>
      <c r="W9" s="51" t="s">
        <v>365</v>
      </c>
      <c r="X9" s="51" t="s">
        <v>192</v>
      </c>
      <c r="Y9" t="s">
        <v>1163</v>
      </c>
      <c r="AD9" t="s">
        <v>899</v>
      </c>
      <c r="AG9" t="s">
        <v>910</v>
      </c>
      <c r="AM9" t="s">
        <v>881</v>
      </c>
    </row>
    <row r="10" spans="1:40" ht="14.45" customHeight="1">
      <c r="A10" s="81" t="s">
        <v>656</v>
      </c>
      <c r="B10" s="49" t="s">
        <v>33</v>
      </c>
      <c r="C10" s="49" t="s">
        <v>33</v>
      </c>
      <c r="D10" s="49" t="s">
        <v>33</v>
      </c>
      <c r="E10" s="49" t="s">
        <v>33</v>
      </c>
      <c r="F10" s="49" t="s">
        <v>33</v>
      </c>
      <c r="G10" s="49" t="s">
        <v>33</v>
      </c>
      <c r="H10" s="49" t="s">
        <v>33</v>
      </c>
      <c r="I10" s="82" t="s">
        <v>25</v>
      </c>
      <c r="J10" s="49" t="s">
        <v>33</v>
      </c>
      <c r="K10" s="49" t="s">
        <v>33</v>
      </c>
      <c r="L10" s="49" t="s">
        <v>33</v>
      </c>
      <c r="M10" s="49"/>
      <c r="N10" s="49" t="s">
        <v>33</v>
      </c>
      <c r="O10" s="5" t="s">
        <v>33</v>
      </c>
      <c r="P10" s="82">
        <f>COUNTIF(B10:O10,"✔")</f>
        <v>1</v>
      </c>
      <c r="Q10" s="83">
        <f>P10/14</f>
        <v>7.1428571428571425E-2</v>
      </c>
      <c r="R10" s="4" t="s">
        <v>65</v>
      </c>
      <c r="S10" t="s">
        <v>657</v>
      </c>
      <c r="T10" s="48" t="s">
        <v>34</v>
      </c>
      <c r="U10" s="48" t="s">
        <v>29</v>
      </c>
      <c r="V10" s="48" t="s">
        <v>335</v>
      </c>
      <c r="W10" s="48" t="s">
        <v>85</v>
      </c>
      <c r="X10" s="48" t="s">
        <v>336</v>
      </c>
      <c r="Y10" t="s">
        <v>1164</v>
      </c>
      <c r="AA10" t="s">
        <v>895</v>
      </c>
      <c r="AD10" t="s">
        <v>883</v>
      </c>
      <c r="AG10" t="s">
        <v>910</v>
      </c>
      <c r="AM10" t="s">
        <v>881</v>
      </c>
    </row>
  </sheetData>
  <dataValidations count="7">
    <dataValidation type="list" allowBlank="1" showInputMessage="1" sqref="AA2:AA10" xr:uid="{9942289B-6874-4DC5-B456-CE36DCA20091}">
      <mc:AlternateContent xmlns:x12ac="http://schemas.microsoft.com/office/spreadsheetml/2011/1/ac" xmlns:mc="http://schemas.openxmlformats.org/markup-compatibility/2006">
        <mc:Choice Requires="x12ac">
          <x12ac:list>"Mandatory,Optional,Out of scope,N/A"</x12ac:list>
        </mc:Choice>
        <mc:Fallback>
          <formula1>"Mandatory,Optional,Out of scope,N/A"</formula1>
        </mc:Fallback>
      </mc:AlternateContent>
    </dataValidation>
    <dataValidation type="list" allowBlank="1" showInputMessage="1" sqref="AD2:AD10" xr:uid="{3A1EF634-461F-49CE-AE5D-B2DCAF44B594}">
      <mc:AlternateContent xmlns:x12ac="http://schemas.microsoft.com/office/spreadsheetml/2011/1/ac" xmlns:mc="http://schemas.openxmlformats.org/markup-compatibility/2006">
        <mc:Choice Requires="x12ac">
          <x12ac:list>"numeric,categorical,boolean,date,text,document,geometry,time series,reference,composite"</x12ac:list>
        </mc:Choice>
        <mc:Fallback>
          <formula1>"numeric,categorical,boolean,date,text,document,geometry,time series,reference,composite"</formula1>
        </mc:Fallback>
      </mc:AlternateContent>
    </dataValidation>
    <dataValidation type="list" allowBlank="1" showInputMessage="1" sqref="AG2:AG10" xr:uid="{B7DD31A9-C7CA-42B5-83D4-E63E824E9E00}">
      <mc:AlternateContent xmlns:x12ac="http://schemas.microsoft.com/office/spreadsheetml/2011/1/ac" xmlns:mc="http://schemas.openxmlformats.org/markup-compatibility/2006">
        <mc:Choice Requires="x12ac">
          <x12ac:list>"building,unit,zone,component,site / context,any level"</x12ac:list>
        </mc:Choice>
        <mc:Fallback>
          <formula1>"building,unit,zone,component,site / context,any level"</formula1>
        </mc:Fallback>
      </mc:AlternateContent>
    </dataValidation>
    <dataValidation type="list" allowBlank="1" showInputMessage="1" sqref="AH2:AH10" xr:uid="{42FFC0C5-E0B9-46C5-B355-E55847CF0944}">
      <mc:AlternateContent xmlns:x12ac="http://schemas.microsoft.com/office/spreadsheetml/2011/1/ac" xmlns:mc="http://schemas.openxmlformats.org/markup-compatibility/2006">
        <mc:Choice Requires="x12ac">
          <x12ac:list>"static,historical,periodic,real-time"</x12ac:list>
        </mc:Choice>
        <mc:Fallback>
          <formula1>"static,historical,periodic,real-time"</formula1>
        </mc:Fallback>
      </mc:AlternateContent>
    </dataValidation>
    <dataValidation type="list" allowBlank="1" showInputMessage="1" sqref="AI2:AI10" xr:uid="{A4FB7685-2731-4FE2-803D-1ACD66DAD765}">
      <mc:AlternateContent xmlns:x12ac="http://schemas.microsoft.com/office/spreadsheetml/2011/1/ac" xmlns:mc="http://schemas.openxmlformats.org/markup-compatibility/2006">
        <mc:Choice Requires="x12ac">
          <x12ac:list>"Public,Restricted,Personal data (GDPR),Commercially sensitive"</x12ac:list>
        </mc:Choice>
        <mc:Fallback>
          <formula1>"Public,Restricted,Personal data (GDPR),Commercially sensitive"</formula1>
        </mc:Fallback>
      </mc:AlternateContent>
    </dataValidation>
    <dataValidation type="list" allowBlank="1" showInputMessage="1" sqref="AL2:AL10" xr:uid="{54146916-69F1-4C54-9035-207FD51EA8F8}">
      <mc:AlternateContent xmlns:x12ac="http://schemas.microsoft.com/office/spreadsheetml/2011/1/ac" xmlns:mc="http://schemas.openxmlformats.org/markup-compatibility/2006">
        <mc:Choice Requires="x12ac">
          <x12ac:list>"open data,API,manual input,inspection,derived"</x12ac:list>
        </mc:Choice>
        <mc:Fallback>
          <formula1>"open data,API,manual input,inspection,derived"</formula1>
        </mc:Fallback>
      </mc:AlternateContent>
    </dataValidation>
    <dataValidation type="list" allowBlank="1" showInputMessage="1" sqref="AM2:AM10" xr:uid="{B0DDC147-6465-4D23-B943-01BA72F069F7}">
      <mc:AlternateContent xmlns:x12ac="http://schemas.microsoft.com/office/spreadsheetml/2011/1/ac" xmlns:mc="http://schemas.openxmlformats.org/markup-compatibility/2006">
        <mc:Choice Requires="x12ac">
          <x12ac:list>"Native,Workaround,Extension needed,Out of scope,N/A"</x12ac:list>
        </mc:Choice>
        <mc:Fallback>
          <formula1>"Native,Workaround,Extension needed,Out of scope,N/A"</formula1>
        </mc:Fallback>
      </mc:AlternateContent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N8"/>
  <sheetViews>
    <sheetView zoomScale="106" zoomScaleNormal="55" workbookViewId="0">
      <pane xSplit="1" topLeftCell="M1" activePane="topRight" state="frozen"/>
      <selection pane="topRight" activeCell="O31" sqref="O31"/>
    </sheetView>
  </sheetViews>
  <sheetFormatPr defaultRowHeight="15" customHeight="1"/>
  <cols>
    <col min="1" max="1" width="50.7109375" customWidth="1"/>
    <col min="2" max="18" width="13.7109375" customWidth="1"/>
    <col min="19" max="22" width="20.7109375" customWidth="1"/>
    <col min="25" max="40" width="16.7109375" customWidth="1"/>
  </cols>
  <sheetData>
    <row r="1" spans="1:40" ht="75" customHeight="1">
      <c r="A1" s="87" t="s">
        <v>856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67" t="s">
        <v>17</v>
      </c>
      <c r="S1" s="67" t="s">
        <v>18</v>
      </c>
      <c r="T1" s="78" t="s">
        <v>19</v>
      </c>
      <c r="U1" s="78" t="s">
        <v>20</v>
      </c>
      <c r="V1" s="77" t="s">
        <v>21</v>
      </c>
      <c r="W1" s="77" t="s">
        <v>22</v>
      </c>
      <c r="X1" s="77" t="s">
        <v>23</v>
      </c>
      <c r="Y1" s="77" t="s">
        <v>862</v>
      </c>
      <c r="Z1" s="77" t="s">
        <v>863</v>
      </c>
      <c r="AA1" s="77" t="s">
        <v>864</v>
      </c>
      <c r="AB1" s="77" t="s">
        <v>865</v>
      </c>
      <c r="AC1" s="77" t="s">
        <v>866</v>
      </c>
      <c r="AD1" s="77" t="s">
        <v>867</v>
      </c>
      <c r="AE1" s="77" t="s">
        <v>868</v>
      </c>
      <c r="AF1" s="77" t="s">
        <v>869</v>
      </c>
      <c r="AG1" s="77" t="s">
        <v>870</v>
      </c>
      <c r="AH1" s="77" t="s">
        <v>871</v>
      </c>
      <c r="AI1" s="77" t="s">
        <v>872</v>
      </c>
      <c r="AJ1" s="77" t="s">
        <v>873</v>
      </c>
      <c r="AK1" s="77" t="s">
        <v>874</v>
      </c>
      <c r="AL1" s="77" t="s">
        <v>875</v>
      </c>
      <c r="AM1" s="77" t="s">
        <v>876</v>
      </c>
      <c r="AN1" s="77" t="s">
        <v>877</v>
      </c>
    </row>
    <row r="2" spans="1:40" ht="14.45" customHeight="1">
      <c r="A2" s="57" t="s">
        <v>658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79"/>
      <c r="Q2" s="79"/>
      <c r="R2" s="65"/>
      <c r="S2" s="66"/>
      <c r="T2" s="79"/>
      <c r="U2" s="79"/>
      <c r="V2" s="79"/>
      <c r="W2" s="79"/>
      <c r="X2" s="79"/>
    </row>
    <row r="3" spans="1:40" ht="14.45" customHeight="1">
      <c r="A3" s="81" t="s">
        <v>659</v>
      </c>
      <c r="B3" s="49" t="s">
        <v>33</v>
      </c>
      <c r="C3" s="49" t="s">
        <v>33</v>
      </c>
      <c r="D3" s="52" t="s">
        <v>25</v>
      </c>
      <c r="E3" s="49" t="s">
        <v>33</v>
      </c>
      <c r="F3" s="49" t="s">
        <v>33</v>
      </c>
      <c r="G3" s="52" t="s">
        <v>25</v>
      </c>
      <c r="H3" s="49" t="s">
        <v>33</v>
      </c>
      <c r="I3" s="49" t="s">
        <v>33</v>
      </c>
      <c r="J3" s="49" t="s">
        <v>33</v>
      </c>
      <c r="K3" s="49" t="s">
        <v>33</v>
      </c>
      <c r="L3" s="49" t="s">
        <v>33</v>
      </c>
      <c r="M3" s="49" t="s">
        <v>33</v>
      </c>
      <c r="N3" s="49" t="s">
        <v>33</v>
      </c>
      <c r="O3" s="5" t="s">
        <v>33</v>
      </c>
      <c r="P3" s="82">
        <f>COUNTIF(B3:O3,"✔")</f>
        <v>2</v>
      </c>
      <c r="Q3" s="83">
        <f>P3/14</f>
        <v>0.14285714285714285</v>
      </c>
      <c r="R3" s="4" t="s">
        <v>26</v>
      </c>
      <c r="S3" t="s">
        <v>660</v>
      </c>
      <c r="T3" s="51" t="s">
        <v>34</v>
      </c>
      <c r="U3" s="51" t="s">
        <v>29</v>
      </c>
      <c r="V3" s="51" t="s">
        <v>35</v>
      </c>
      <c r="W3" s="51" t="s">
        <v>142</v>
      </c>
      <c r="X3" s="51" t="s">
        <v>143</v>
      </c>
      <c r="Y3" t="s">
        <v>1165</v>
      </c>
      <c r="AD3" t="s">
        <v>879</v>
      </c>
      <c r="AG3" t="s">
        <v>884</v>
      </c>
      <c r="AM3" t="s">
        <v>916</v>
      </c>
      <c r="AN3" t="s">
        <v>142</v>
      </c>
    </row>
    <row r="4" spans="1:40" ht="14.45" customHeight="1">
      <c r="A4" s="81" t="s">
        <v>661</v>
      </c>
      <c r="B4" s="49" t="s">
        <v>33</v>
      </c>
      <c r="C4" s="49" t="s">
        <v>33</v>
      </c>
      <c r="D4" s="49" t="s">
        <v>33</v>
      </c>
      <c r="E4" s="49" t="s">
        <v>33</v>
      </c>
      <c r="F4" s="49" t="s">
        <v>33</v>
      </c>
      <c r="G4" s="52" t="s">
        <v>25</v>
      </c>
      <c r="H4" s="49" t="s">
        <v>33</v>
      </c>
      <c r="I4" s="52" t="s">
        <v>25</v>
      </c>
      <c r="J4" s="49" t="s">
        <v>33</v>
      </c>
      <c r="K4" s="49" t="s">
        <v>33</v>
      </c>
      <c r="L4" s="49" t="s">
        <v>33</v>
      </c>
      <c r="M4" s="49" t="s">
        <v>33</v>
      </c>
      <c r="N4" s="49" t="s">
        <v>33</v>
      </c>
      <c r="O4" s="5" t="s">
        <v>33</v>
      </c>
      <c r="P4" s="82">
        <f>COUNTIF(B4:O4,"✔")</f>
        <v>2</v>
      </c>
      <c r="Q4" s="83">
        <f>P4/14</f>
        <v>0.14285714285714285</v>
      </c>
      <c r="R4" s="4" t="s">
        <v>65</v>
      </c>
      <c r="S4" t="s">
        <v>171</v>
      </c>
      <c r="T4" s="48" t="s">
        <v>34</v>
      </c>
      <c r="U4" s="48" t="s">
        <v>29</v>
      </c>
      <c r="V4" s="48" t="s">
        <v>60</v>
      </c>
      <c r="W4" s="48" t="s">
        <v>378</v>
      </c>
      <c r="X4" s="48" t="s">
        <v>379</v>
      </c>
      <c r="Y4" t="s">
        <v>1166</v>
      </c>
      <c r="AA4" t="s">
        <v>895</v>
      </c>
      <c r="AD4" t="s">
        <v>950</v>
      </c>
      <c r="AG4" t="s">
        <v>884</v>
      </c>
      <c r="AM4" t="s">
        <v>881</v>
      </c>
    </row>
    <row r="5" spans="1:40" ht="14.45" customHeight="1">
      <c r="A5" s="57" t="s">
        <v>662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84"/>
      <c r="Q5" s="85"/>
      <c r="R5" s="65"/>
      <c r="S5" s="66"/>
      <c r="T5" s="79"/>
      <c r="U5" s="79"/>
      <c r="V5" s="79"/>
      <c r="W5" s="79"/>
      <c r="X5" s="79"/>
    </row>
    <row r="6" spans="1:40" ht="14.45" customHeight="1">
      <c r="A6" s="81" t="s">
        <v>663</v>
      </c>
      <c r="B6" s="49" t="s">
        <v>33</v>
      </c>
      <c r="C6" s="49" t="s">
        <v>33</v>
      </c>
      <c r="D6" s="49" t="s">
        <v>33</v>
      </c>
      <c r="E6" s="52" t="s">
        <v>25</v>
      </c>
      <c r="F6" s="49" t="s">
        <v>33</v>
      </c>
      <c r="G6" s="49" t="s">
        <v>33</v>
      </c>
      <c r="H6" s="49" t="s">
        <v>33</v>
      </c>
      <c r="I6" s="49" t="s">
        <v>33</v>
      </c>
      <c r="J6" s="49" t="s">
        <v>33</v>
      </c>
      <c r="K6" s="49" t="s">
        <v>33</v>
      </c>
      <c r="L6" s="49" t="s">
        <v>33</v>
      </c>
      <c r="M6" s="49" t="s">
        <v>33</v>
      </c>
      <c r="N6" s="49" t="s">
        <v>33</v>
      </c>
      <c r="O6" s="5" t="s">
        <v>33</v>
      </c>
      <c r="P6" s="82">
        <f>COUNTIF(B6:O6,"✔")</f>
        <v>1</v>
      </c>
      <c r="Q6" s="83">
        <f>P6/14</f>
        <v>7.1428571428571425E-2</v>
      </c>
      <c r="R6" s="4" t="s">
        <v>65</v>
      </c>
      <c r="S6" t="s">
        <v>664</v>
      </c>
      <c r="T6" s="51" t="s">
        <v>34</v>
      </c>
      <c r="U6" s="51" t="s">
        <v>29</v>
      </c>
      <c r="V6" s="51" t="s">
        <v>35</v>
      </c>
      <c r="W6" s="51" t="s">
        <v>142</v>
      </c>
      <c r="X6" s="51" t="s">
        <v>143</v>
      </c>
      <c r="Y6" t="s">
        <v>1167</v>
      </c>
      <c r="AA6" t="s">
        <v>895</v>
      </c>
      <c r="AD6" t="s">
        <v>879</v>
      </c>
      <c r="AG6" t="s">
        <v>884</v>
      </c>
      <c r="AM6" t="s">
        <v>916</v>
      </c>
      <c r="AN6" t="s">
        <v>142</v>
      </c>
    </row>
    <row r="7" spans="1:40" ht="14.45" customHeight="1">
      <c r="A7" s="81" t="s">
        <v>665</v>
      </c>
      <c r="B7" s="49" t="s">
        <v>33</v>
      </c>
      <c r="C7" s="49" t="s">
        <v>33</v>
      </c>
      <c r="D7" s="49" t="s">
        <v>33</v>
      </c>
      <c r="E7" s="49" t="s">
        <v>33</v>
      </c>
      <c r="F7" s="52" t="s">
        <v>25</v>
      </c>
      <c r="G7" s="49" t="s">
        <v>33</v>
      </c>
      <c r="H7" s="49" t="s">
        <v>33</v>
      </c>
      <c r="I7" s="52" t="s">
        <v>25</v>
      </c>
      <c r="J7" s="49" t="s">
        <v>33</v>
      </c>
      <c r="K7" s="49" t="s">
        <v>33</v>
      </c>
      <c r="L7" s="49" t="s">
        <v>33</v>
      </c>
      <c r="M7" s="49" t="s">
        <v>33</v>
      </c>
      <c r="N7" s="49" t="s">
        <v>33</v>
      </c>
      <c r="O7" s="5" t="s">
        <v>33</v>
      </c>
      <c r="P7" s="82">
        <f>COUNTIF(B7:O7,"✔")</f>
        <v>2</v>
      </c>
      <c r="Q7" s="83">
        <f>P7/14</f>
        <v>0.14285714285714285</v>
      </c>
      <c r="R7" s="4" t="s">
        <v>65</v>
      </c>
      <c r="S7" t="s">
        <v>616</v>
      </c>
      <c r="T7" s="51" t="s">
        <v>34</v>
      </c>
      <c r="U7" s="51" t="s">
        <v>29</v>
      </c>
      <c r="V7" s="51" t="s">
        <v>35</v>
      </c>
      <c r="W7" s="51" t="s">
        <v>142</v>
      </c>
      <c r="X7" s="51" t="s">
        <v>143</v>
      </c>
      <c r="Y7" t="s">
        <v>1168</v>
      </c>
      <c r="AA7" t="s">
        <v>895</v>
      </c>
      <c r="AD7" t="s">
        <v>879</v>
      </c>
      <c r="AG7" t="s">
        <v>884</v>
      </c>
      <c r="AM7" t="s">
        <v>916</v>
      </c>
      <c r="AN7" t="s">
        <v>142</v>
      </c>
    </row>
    <row r="8" spans="1:40" ht="14.45" customHeight="1">
      <c r="A8" s="81" t="s">
        <v>666</v>
      </c>
      <c r="B8" s="53" t="s">
        <v>33</v>
      </c>
      <c r="C8" s="49" t="s">
        <v>33</v>
      </c>
      <c r="D8" s="49" t="s">
        <v>33</v>
      </c>
      <c r="E8" s="49" t="s">
        <v>33</v>
      </c>
      <c r="F8" s="52" t="s">
        <v>25</v>
      </c>
      <c r="G8" s="49" t="s">
        <v>33</v>
      </c>
      <c r="H8" s="49" t="s">
        <v>33</v>
      </c>
      <c r="I8" s="52" t="s">
        <v>25</v>
      </c>
      <c r="J8" s="49" t="s">
        <v>33</v>
      </c>
      <c r="K8" s="49" t="s">
        <v>33</v>
      </c>
      <c r="L8" s="49" t="s">
        <v>33</v>
      </c>
      <c r="M8" s="49" t="s">
        <v>33</v>
      </c>
      <c r="N8" s="49" t="s">
        <v>33</v>
      </c>
      <c r="O8" s="5" t="s">
        <v>33</v>
      </c>
      <c r="P8" s="82">
        <f>COUNTIF(B8:O8,"✔")</f>
        <v>2</v>
      </c>
      <c r="Q8" s="83">
        <f>P8/14</f>
        <v>0.14285714285714285</v>
      </c>
      <c r="R8" s="4" t="s">
        <v>65</v>
      </c>
      <c r="S8" t="s">
        <v>616</v>
      </c>
      <c r="T8" s="51" t="s">
        <v>34</v>
      </c>
      <c r="U8" s="51" t="s">
        <v>29</v>
      </c>
      <c r="V8" s="51" t="s">
        <v>35</v>
      </c>
      <c r="W8" s="51" t="s">
        <v>142</v>
      </c>
      <c r="X8" s="51" t="s">
        <v>143</v>
      </c>
      <c r="Y8" t="s">
        <v>1169</v>
      </c>
      <c r="AA8" t="s">
        <v>895</v>
      </c>
      <c r="AD8" t="s">
        <v>879</v>
      </c>
      <c r="AG8" t="s">
        <v>884</v>
      </c>
      <c r="AM8" t="s">
        <v>916</v>
      </c>
      <c r="AN8" t="s">
        <v>142</v>
      </c>
    </row>
  </sheetData>
  <dataValidations count="7">
    <dataValidation type="list" allowBlank="1" showInputMessage="1" sqref="AA2:AA8" xr:uid="{5959F5CF-4275-4887-8531-CBF0B5639A22}">
      <mc:AlternateContent xmlns:x12ac="http://schemas.microsoft.com/office/spreadsheetml/2011/1/ac" xmlns:mc="http://schemas.openxmlformats.org/markup-compatibility/2006">
        <mc:Choice Requires="x12ac">
          <x12ac:list>"Mandatory,Optional,Out of scope,N/A"</x12ac:list>
        </mc:Choice>
        <mc:Fallback>
          <formula1>"Mandatory,Optional,Out of scope,N/A"</formula1>
        </mc:Fallback>
      </mc:AlternateContent>
    </dataValidation>
    <dataValidation type="list" allowBlank="1" showInputMessage="1" sqref="AD2:AD8" xr:uid="{E3DB0A24-227F-4A91-955A-BF5352B5BADE}">
      <mc:AlternateContent xmlns:x12ac="http://schemas.microsoft.com/office/spreadsheetml/2011/1/ac" xmlns:mc="http://schemas.openxmlformats.org/markup-compatibility/2006">
        <mc:Choice Requires="x12ac">
          <x12ac:list>"numeric,categorical,boolean,date,text,document,geometry,time series,reference,composite"</x12ac:list>
        </mc:Choice>
        <mc:Fallback>
          <formula1>"numeric,categorical,boolean,date,text,document,geometry,time series,reference,composite"</formula1>
        </mc:Fallback>
      </mc:AlternateContent>
    </dataValidation>
    <dataValidation type="list" allowBlank="1" showInputMessage="1" sqref="AG2:AG8" xr:uid="{C574EF05-2488-4EBE-9CF8-EC32912AB49F}">
      <mc:AlternateContent xmlns:x12ac="http://schemas.microsoft.com/office/spreadsheetml/2011/1/ac" xmlns:mc="http://schemas.openxmlformats.org/markup-compatibility/2006">
        <mc:Choice Requires="x12ac">
          <x12ac:list>"building,unit,zone,component,site / context,any level"</x12ac:list>
        </mc:Choice>
        <mc:Fallback>
          <formula1>"building,unit,zone,component,site / context,any level"</formula1>
        </mc:Fallback>
      </mc:AlternateContent>
    </dataValidation>
    <dataValidation type="list" allowBlank="1" showInputMessage="1" sqref="AH2:AH8" xr:uid="{9745512D-75CA-46F2-8817-629EFB2F8CE1}">
      <mc:AlternateContent xmlns:x12ac="http://schemas.microsoft.com/office/spreadsheetml/2011/1/ac" xmlns:mc="http://schemas.openxmlformats.org/markup-compatibility/2006">
        <mc:Choice Requires="x12ac">
          <x12ac:list>"static,historical,periodic,real-time"</x12ac:list>
        </mc:Choice>
        <mc:Fallback>
          <formula1>"static,historical,periodic,real-time"</formula1>
        </mc:Fallback>
      </mc:AlternateContent>
    </dataValidation>
    <dataValidation type="list" allowBlank="1" showInputMessage="1" sqref="AI2:AI8" xr:uid="{0E4D2E6E-7C03-442B-8F9F-36901855AAF1}">
      <mc:AlternateContent xmlns:x12ac="http://schemas.microsoft.com/office/spreadsheetml/2011/1/ac" xmlns:mc="http://schemas.openxmlformats.org/markup-compatibility/2006">
        <mc:Choice Requires="x12ac">
          <x12ac:list>"Public,Restricted,Personal data (GDPR),Commercially sensitive"</x12ac:list>
        </mc:Choice>
        <mc:Fallback>
          <formula1>"Public,Restricted,Personal data (GDPR),Commercially sensitive"</formula1>
        </mc:Fallback>
      </mc:AlternateContent>
    </dataValidation>
    <dataValidation type="list" allowBlank="1" showInputMessage="1" sqref="AL2:AL8" xr:uid="{24489D99-8CC9-4F4D-94E0-5614B3110F61}">
      <mc:AlternateContent xmlns:x12ac="http://schemas.microsoft.com/office/spreadsheetml/2011/1/ac" xmlns:mc="http://schemas.openxmlformats.org/markup-compatibility/2006">
        <mc:Choice Requires="x12ac">
          <x12ac:list>"open data,API,manual input,inspection,derived"</x12ac:list>
        </mc:Choice>
        <mc:Fallback>
          <formula1>"open data,API,manual input,inspection,derived"</formula1>
        </mc:Fallback>
      </mc:AlternateContent>
    </dataValidation>
    <dataValidation type="list" allowBlank="1" showInputMessage="1" sqref="AM2:AM8" xr:uid="{77502670-1F6D-4455-AC7C-1FCDA2F892B4}">
      <mc:AlternateContent xmlns:x12ac="http://schemas.microsoft.com/office/spreadsheetml/2011/1/ac" xmlns:mc="http://schemas.openxmlformats.org/markup-compatibility/2006">
        <mc:Choice Requires="x12ac">
          <x12ac:list>"Native,Workaround,Extension needed,Out of scope,N/A"</x12ac:list>
        </mc:Choice>
        <mc:Fallback>
          <formula1>"Native,Workaround,Extension needed,Out of scope,N/A"</formula1>
        </mc:Fallback>
      </mc:AlternateContent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N5"/>
  <sheetViews>
    <sheetView zoomScale="89" zoomScaleNormal="85" workbookViewId="0">
      <pane xSplit="1" topLeftCell="O1" activePane="topRight" state="frozen"/>
      <selection pane="topRight" activeCell="S18" sqref="S18"/>
    </sheetView>
  </sheetViews>
  <sheetFormatPr defaultRowHeight="15" customHeight="1"/>
  <cols>
    <col min="1" max="1" width="50.7109375" customWidth="1"/>
    <col min="2" max="18" width="13.7109375" customWidth="1"/>
    <col min="19" max="24" width="20.7109375" customWidth="1"/>
    <col min="25" max="40" width="16.7109375" customWidth="1"/>
  </cols>
  <sheetData>
    <row r="1" spans="1:40" ht="75" customHeight="1">
      <c r="A1" s="87" t="s">
        <v>857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67" t="s">
        <v>17</v>
      </c>
      <c r="S1" s="67" t="s">
        <v>18</v>
      </c>
      <c r="T1" s="78" t="s">
        <v>19</v>
      </c>
      <c r="U1" s="78" t="s">
        <v>20</v>
      </c>
      <c r="V1" s="77" t="s">
        <v>21</v>
      </c>
      <c r="W1" s="77" t="s">
        <v>22</v>
      </c>
      <c r="X1" s="77" t="s">
        <v>23</v>
      </c>
      <c r="Y1" s="77" t="s">
        <v>862</v>
      </c>
      <c r="Z1" s="77" t="s">
        <v>863</v>
      </c>
      <c r="AA1" s="77" t="s">
        <v>864</v>
      </c>
      <c r="AB1" s="77" t="s">
        <v>865</v>
      </c>
      <c r="AC1" s="77" t="s">
        <v>866</v>
      </c>
      <c r="AD1" s="77" t="s">
        <v>867</v>
      </c>
      <c r="AE1" s="77" t="s">
        <v>868</v>
      </c>
      <c r="AF1" s="77" t="s">
        <v>869</v>
      </c>
      <c r="AG1" s="77" t="s">
        <v>870</v>
      </c>
      <c r="AH1" s="77" t="s">
        <v>871</v>
      </c>
      <c r="AI1" s="77" t="s">
        <v>872</v>
      </c>
      <c r="AJ1" s="77" t="s">
        <v>873</v>
      </c>
      <c r="AK1" s="77" t="s">
        <v>874</v>
      </c>
      <c r="AL1" s="77" t="s">
        <v>875</v>
      </c>
      <c r="AM1" s="77" t="s">
        <v>876</v>
      </c>
      <c r="AN1" s="77" t="s">
        <v>877</v>
      </c>
    </row>
    <row r="2" spans="1:40" ht="14.45" customHeight="1">
      <c r="A2" s="57" t="s">
        <v>667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65"/>
      <c r="S2" s="66"/>
      <c r="T2" s="79"/>
      <c r="U2" s="79"/>
      <c r="V2" s="79"/>
      <c r="W2" s="79"/>
      <c r="X2" s="79"/>
      <c r="Y2" s="81"/>
      <c r="Z2" s="81"/>
    </row>
    <row r="3" spans="1:40" ht="14.45" customHeight="1">
      <c r="A3" s="81" t="s">
        <v>668</v>
      </c>
      <c r="B3" s="49" t="s">
        <v>33</v>
      </c>
      <c r="C3" s="82" t="s">
        <v>25</v>
      </c>
      <c r="D3" s="49" t="s">
        <v>33</v>
      </c>
      <c r="E3" s="82" t="s">
        <v>25</v>
      </c>
      <c r="F3" s="49" t="s">
        <v>33</v>
      </c>
      <c r="G3" s="49" t="s">
        <v>33</v>
      </c>
      <c r="H3" s="49" t="s">
        <v>33</v>
      </c>
      <c r="I3" s="49" t="s">
        <v>33</v>
      </c>
      <c r="J3" s="49" t="s">
        <v>33</v>
      </c>
      <c r="K3" s="49" t="s">
        <v>33</v>
      </c>
      <c r="L3" s="49" t="s">
        <v>33</v>
      </c>
      <c r="M3" s="49" t="s">
        <v>33</v>
      </c>
      <c r="N3" s="49" t="s">
        <v>33</v>
      </c>
      <c r="O3" s="5" t="s">
        <v>33</v>
      </c>
      <c r="P3" s="82">
        <f>COUNTIF(B3:O3,"✔")</f>
        <v>2</v>
      </c>
      <c r="Q3" s="83">
        <f>P3/14</f>
        <v>0.14285714285714285</v>
      </c>
      <c r="R3" s="4" t="s">
        <v>26</v>
      </c>
      <c r="S3" t="s">
        <v>669</v>
      </c>
      <c r="T3" s="51" t="s">
        <v>34</v>
      </c>
      <c r="U3" s="51" t="s">
        <v>29</v>
      </c>
      <c r="V3" s="51" t="s">
        <v>35</v>
      </c>
      <c r="W3" s="51" t="s">
        <v>142</v>
      </c>
      <c r="X3" s="51" t="s">
        <v>143</v>
      </c>
      <c r="Y3" s="81" t="s">
        <v>1170</v>
      </c>
      <c r="Z3" s="48"/>
      <c r="AD3" t="s">
        <v>879</v>
      </c>
      <c r="AG3" t="s">
        <v>884</v>
      </c>
      <c r="AM3" t="s">
        <v>916</v>
      </c>
      <c r="AN3" t="s">
        <v>142</v>
      </c>
    </row>
    <row r="4" spans="1:40" ht="14.45" customHeight="1">
      <c r="A4" s="81" t="s">
        <v>670</v>
      </c>
      <c r="B4" s="49" t="s">
        <v>33</v>
      </c>
      <c r="C4" s="49" t="s">
        <v>33</v>
      </c>
      <c r="D4" s="49" t="s">
        <v>33</v>
      </c>
      <c r="E4" s="49" t="s">
        <v>33</v>
      </c>
      <c r="F4" s="82" t="s">
        <v>25</v>
      </c>
      <c r="G4" s="49" t="s">
        <v>33</v>
      </c>
      <c r="H4" s="49" t="s">
        <v>33</v>
      </c>
      <c r="I4" s="49" t="s">
        <v>33</v>
      </c>
      <c r="J4" s="49" t="s">
        <v>33</v>
      </c>
      <c r="K4" s="49" t="s">
        <v>33</v>
      </c>
      <c r="L4" s="49" t="s">
        <v>33</v>
      </c>
      <c r="M4" s="49" t="s">
        <v>33</v>
      </c>
      <c r="N4" s="49" t="s">
        <v>33</v>
      </c>
      <c r="O4" s="5" t="s">
        <v>33</v>
      </c>
      <c r="P4" s="82">
        <f>COUNTIF(B4:O4,"✔")</f>
        <v>1</v>
      </c>
      <c r="Q4" s="83">
        <f>P4/14</f>
        <v>7.1428571428571425E-2</v>
      </c>
      <c r="R4" s="4" t="s">
        <v>65</v>
      </c>
      <c r="S4" t="s">
        <v>671</v>
      </c>
      <c r="T4" s="51" t="s">
        <v>34</v>
      </c>
      <c r="U4" s="51" t="s">
        <v>29</v>
      </c>
      <c r="V4" s="51" t="s">
        <v>394</v>
      </c>
      <c r="W4" s="51" t="s">
        <v>85</v>
      </c>
      <c r="X4" s="51" t="s">
        <v>395</v>
      </c>
      <c r="Y4" s="81" t="s">
        <v>1171</v>
      </c>
      <c r="Z4" s="48"/>
      <c r="AA4" t="s">
        <v>895</v>
      </c>
      <c r="AD4" t="s">
        <v>1012</v>
      </c>
      <c r="AG4" t="s">
        <v>884</v>
      </c>
      <c r="AH4" t="s">
        <v>1013</v>
      </c>
      <c r="AM4" t="s">
        <v>881</v>
      </c>
    </row>
    <row r="5" spans="1:40" ht="14.45" customHeight="1">
      <c r="A5" s="81"/>
      <c r="B5" s="49"/>
      <c r="C5" s="49"/>
      <c r="D5" s="49"/>
      <c r="E5" s="49"/>
      <c r="F5" s="82"/>
      <c r="G5" s="49"/>
      <c r="H5" s="49"/>
      <c r="I5" s="49"/>
      <c r="J5" s="49"/>
      <c r="K5" s="49"/>
      <c r="L5" s="49"/>
      <c r="M5" s="49"/>
      <c r="N5" s="49"/>
      <c r="O5" s="49"/>
      <c r="P5" s="82"/>
      <c r="Q5" s="83"/>
      <c r="R5" s="4"/>
      <c r="T5" s="51" t="s">
        <v>34</v>
      </c>
      <c r="U5" s="51" t="s">
        <v>29</v>
      </c>
      <c r="V5" s="51" t="s">
        <v>394</v>
      </c>
      <c r="W5" s="51" t="s">
        <v>599</v>
      </c>
      <c r="X5" s="51" t="s">
        <v>192</v>
      </c>
      <c r="Y5" s="81"/>
      <c r="Z5" s="48"/>
    </row>
  </sheetData>
  <dataValidations count="7">
    <dataValidation type="list" allowBlank="1" showInputMessage="1" sqref="AA2:AA5" xr:uid="{1BD3FF05-A8CC-4778-810B-E4981C640E58}">
      <mc:AlternateContent xmlns:x12ac="http://schemas.microsoft.com/office/spreadsheetml/2011/1/ac" xmlns:mc="http://schemas.openxmlformats.org/markup-compatibility/2006">
        <mc:Choice Requires="x12ac">
          <x12ac:list>"Mandatory,Optional,Out of scope,N/A"</x12ac:list>
        </mc:Choice>
        <mc:Fallback>
          <formula1>"Mandatory,Optional,Out of scope,N/A"</formula1>
        </mc:Fallback>
      </mc:AlternateContent>
    </dataValidation>
    <dataValidation type="list" allowBlank="1" showInputMessage="1" sqref="AD2:AD5" xr:uid="{2AAA477E-91F4-4223-BFB4-0E14F91DCF93}">
      <mc:AlternateContent xmlns:x12ac="http://schemas.microsoft.com/office/spreadsheetml/2011/1/ac" xmlns:mc="http://schemas.openxmlformats.org/markup-compatibility/2006">
        <mc:Choice Requires="x12ac">
          <x12ac:list>"numeric,categorical,boolean,date,text,document,geometry,time series,reference,composite"</x12ac:list>
        </mc:Choice>
        <mc:Fallback>
          <formula1>"numeric,categorical,boolean,date,text,document,geometry,time series,reference,composite"</formula1>
        </mc:Fallback>
      </mc:AlternateContent>
    </dataValidation>
    <dataValidation type="list" allowBlank="1" showInputMessage="1" sqref="AG2:AG5" xr:uid="{816024C7-9599-41BD-A1B7-39F34F0E8636}">
      <mc:AlternateContent xmlns:x12ac="http://schemas.microsoft.com/office/spreadsheetml/2011/1/ac" xmlns:mc="http://schemas.openxmlformats.org/markup-compatibility/2006">
        <mc:Choice Requires="x12ac">
          <x12ac:list>"building,unit,zone,component,site / context,any level"</x12ac:list>
        </mc:Choice>
        <mc:Fallback>
          <formula1>"building,unit,zone,component,site / context,any level"</formula1>
        </mc:Fallback>
      </mc:AlternateContent>
    </dataValidation>
    <dataValidation type="list" allowBlank="1" showInputMessage="1" sqref="AH2:AH5" xr:uid="{B70C84AB-D9C1-4051-A46F-2FEE4B8F9C7A}">
      <mc:AlternateContent xmlns:x12ac="http://schemas.microsoft.com/office/spreadsheetml/2011/1/ac" xmlns:mc="http://schemas.openxmlformats.org/markup-compatibility/2006">
        <mc:Choice Requires="x12ac">
          <x12ac:list>"static,historical,periodic,real-time"</x12ac:list>
        </mc:Choice>
        <mc:Fallback>
          <formula1>"static,historical,periodic,real-time"</formula1>
        </mc:Fallback>
      </mc:AlternateContent>
    </dataValidation>
    <dataValidation type="list" allowBlank="1" showInputMessage="1" sqref="AI2:AI5" xr:uid="{0C40B26A-0575-49C1-B9A3-78DF09394C26}">
      <mc:AlternateContent xmlns:x12ac="http://schemas.microsoft.com/office/spreadsheetml/2011/1/ac" xmlns:mc="http://schemas.openxmlformats.org/markup-compatibility/2006">
        <mc:Choice Requires="x12ac">
          <x12ac:list>"Public,Restricted,Personal data (GDPR),Commercially sensitive"</x12ac:list>
        </mc:Choice>
        <mc:Fallback>
          <formula1>"Public,Restricted,Personal data (GDPR),Commercially sensitive"</formula1>
        </mc:Fallback>
      </mc:AlternateContent>
    </dataValidation>
    <dataValidation type="list" allowBlank="1" showInputMessage="1" sqref="AL2:AL5" xr:uid="{0BD42BAA-1A9C-4776-9E1D-4DD22CC3F278}">
      <mc:AlternateContent xmlns:x12ac="http://schemas.microsoft.com/office/spreadsheetml/2011/1/ac" xmlns:mc="http://schemas.openxmlformats.org/markup-compatibility/2006">
        <mc:Choice Requires="x12ac">
          <x12ac:list>"open data,API,manual input,inspection,derived"</x12ac:list>
        </mc:Choice>
        <mc:Fallback>
          <formula1>"open data,API,manual input,inspection,derived"</formula1>
        </mc:Fallback>
      </mc:AlternateContent>
    </dataValidation>
    <dataValidation type="list" allowBlank="1" showInputMessage="1" sqref="AM2:AM5" xr:uid="{15A0D027-B413-4709-B93A-C3A8BDF18E68}">
      <mc:AlternateContent xmlns:x12ac="http://schemas.microsoft.com/office/spreadsheetml/2011/1/ac" xmlns:mc="http://schemas.openxmlformats.org/markup-compatibility/2006">
        <mc:Choice Requires="x12ac">
          <x12ac:list>"Native,Workaround,Extension needed,Out of scope,N/A"</x12ac:list>
        </mc:Choice>
        <mc:Fallback>
          <formula1>"Native,Workaround,Extension needed,Out of scope,N/A"</formula1>
        </mc:Fallback>
      </mc:AlternateContent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N10"/>
  <sheetViews>
    <sheetView zoomScale="109" zoomScaleNormal="85" workbookViewId="0">
      <pane xSplit="1" topLeftCell="O1" activePane="topRight" state="frozen"/>
      <selection pane="topRight" activeCell="S12" sqref="S12"/>
    </sheetView>
  </sheetViews>
  <sheetFormatPr defaultRowHeight="15" customHeight="1"/>
  <cols>
    <col min="1" max="1" width="50.7109375" customWidth="1"/>
    <col min="2" max="18" width="13.7109375" customWidth="1"/>
    <col min="19" max="24" width="20.7109375" customWidth="1"/>
    <col min="25" max="40" width="16.7109375" customWidth="1"/>
  </cols>
  <sheetData>
    <row r="1" spans="1:40" ht="75" customHeight="1">
      <c r="A1" s="87" t="s">
        <v>858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67" t="s">
        <v>17</v>
      </c>
      <c r="S1" s="67" t="s">
        <v>18</v>
      </c>
      <c r="T1" s="78" t="s">
        <v>19</v>
      </c>
      <c r="U1" s="78" t="s">
        <v>646</v>
      </c>
      <c r="V1" s="77" t="s">
        <v>21</v>
      </c>
      <c r="W1" s="77" t="s">
        <v>22</v>
      </c>
      <c r="X1" s="77" t="s">
        <v>23</v>
      </c>
      <c r="Y1" s="77" t="s">
        <v>862</v>
      </c>
      <c r="Z1" s="77" t="s">
        <v>863</v>
      </c>
      <c r="AA1" s="77" t="s">
        <v>864</v>
      </c>
      <c r="AB1" s="77" t="s">
        <v>865</v>
      </c>
      <c r="AC1" s="77" t="s">
        <v>866</v>
      </c>
      <c r="AD1" s="77" t="s">
        <v>867</v>
      </c>
      <c r="AE1" s="77" t="s">
        <v>868</v>
      </c>
      <c r="AF1" s="77" t="s">
        <v>869</v>
      </c>
      <c r="AG1" s="77" t="s">
        <v>870</v>
      </c>
      <c r="AH1" s="77" t="s">
        <v>871</v>
      </c>
      <c r="AI1" s="77" t="s">
        <v>872</v>
      </c>
      <c r="AJ1" s="77" t="s">
        <v>873</v>
      </c>
      <c r="AK1" s="77" t="s">
        <v>874</v>
      </c>
      <c r="AL1" s="77" t="s">
        <v>875</v>
      </c>
      <c r="AM1" s="77" t="s">
        <v>876</v>
      </c>
      <c r="AN1" s="77" t="s">
        <v>877</v>
      </c>
    </row>
    <row r="2" spans="1:40" ht="14.45" customHeight="1">
      <c r="A2" s="57" t="s">
        <v>672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65"/>
      <c r="S2" s="66"/>
      <c r="T2" s="58"/>
      <c r="U2" s="58"/>
      <c r="V2" s="58"/>
      <c r="W2" s="58"/>
      <c r="X2" s="58"/>
      <c r="Y2" s="81"/>
      <c r="Z2" s="81"/>
    </row>
    <row r="3" spans="1:40" ht="14.45" customHeight="1">
      <c r="A3" s="81" t="s">
        <v>673</v>
      </c>
      <c r="B3" s="82" t="s">
        <v>25</v>
      </c>
      <c r="C3" s="82" t="s">
        <v>25</v>
      </c>
      <c r="D3" s="49" t="s">
        <v>33</v>
      </c>
      <c r="E3" s="49" t="s">
        <v>33</v>
      </c>
      <c r="F3" s="49" t="s">
        <v>33</v>
      </c>
      <c r="G3" s="49" t="s">
        <v>33</v>
      </c>
      <c r="H3" s="49" t="s">
        <v>33</v>
      </c>
      <c r="I3" s="82" t="s">
        <v>25</v>
      </c>
      <c r="J3" s="49" t="s">
        <v>33</v>
      </c>
      <c r="K3" s="82" t="s">
        <v>25</v>
      </c>
      <c r="L3" s="49" t="s">
        <v>33</v>
      </c>
      <c r="M3" s="49" t="s">
        <v>33</v>
      </c>
      <c r="N3" s="49" t="s">
        <v>33</v>
      </c>
      <c r="O3" s="5" t="s">
        <v>33</v>
      </c>
      <c r="P3" s="82">
        <f>COUNTIF(B3:O3,"✔")</f>
        <v>4</v>
      </c>
      <c r="Q3" s="83">
        <f>P3/14</f>
        <v>0.2857142857142857</v>
      </c>
      <c r="R3" s="4" t="s">
        <v>26</v>
      </c>
      <c r="S3" t="s">
        <v>513</v>
      </c>
      <c r="T3" s="51" t="s">
        <v>34</v>
      </c>
      <c r="U3" s="51" t="s">
        <v>29</v>
      </c>
      <c r="V3" s="51" t="s">
        <v>53</v>
      </c>
      <c r="W3" s="51" t="s">
        <v>405</v>
      </c>
      <c r="X3" s="48" t="s">
        <v>406</v>
      </c>
      <c r="Y3" s="81" t="s">
        <v>1172</v>
      </c>
      <c r="Z3" s="48"/>
      <c r="AD3" t="s">
        <v>883</v>
      </c>
      <c r="AG3" t="s">
        <v>884</v>
      </c>
      <c r="AM3" t="s">
        <v>881</v>
      </c>
    </row>
    <row r="4" spans="1:40" ht="14.45" customHeight="1">
      <c r="A4" s="81" t="s">
        <v>674</v>
      </c>
      <c r="B4" s="49" t="s">
        <v>33</v>
      </c>
      <c r="C4" s="82" t="s">
        <v>25</v>
      </c>
      <c r="D4" s="49" t="s">
        <v>33</v>
      </c>
      <c r="E4" s="49" t="s">
        <v>33</v>
      </c>
      <c r="F4" s="49" t="s">
        <v>33</v>
      </c>
      <c r="G4" s="49" t="s">
        <v>33</v>
      </c>
      <c r="H4" s="49" t="s">
        <v>33</v>
      </c>
      <c r="I4" s="49" t="s">
        <v>33</v>
      </c>
      <c r="J4" s="49" t="s">
        <v>33</v>
      </c>
      <c r="K4" s="49" t="s">
        <v>33</v>
      </c>
      <c r="L4" s="49" t="s">
        <v>33</v>
      </c>
      <c r="M4" s="49" t="s">
        <v>33</v>
      </c>
      <c r="N4" s="49" t="s">
        <v>33</v>
      </c>
      <c r="O4" s="5" t="s">
        <v>33</v>
      </c>
      <c r="P4" s="82">
        <f>COUNTIF(B4:O4,"✔")</f>
        <v>1</v>
      </c>
      <c r="Q4" s="83">
        <f>P4/14</f>
        <v>7.1428571428571425E-2</v>
      </c>
      <c r="R4" s="4" t="s">
        <v>26</v>
      </c>
      <c r="S4" t="s">
        <v>513</v>
      </c>
      <c r="T4" s="51" t="s">
        <v>34</v>
      </c>
      <c r="U4" s="51" t="s">
        <v>29</v>
      </c>
      <c r="V4" s="51" t="s">
        <v>53</v>
      </c>
      <c r="W4" s="51" t="s">
        <v>405</v>
      </c>
      <c r="X4" s="48" t="s">
        <v>406</v>
      </c>
      <c r="Y4" s="81" t="s">
        <v>1173</v>
      </c>
      <c r="Z4" s="48"/>
      <c r="AD4" t="s">
        <v>883</v>
      </c>
      <c r="AG4" t="s">
        <v>884</v>
      </c>
      <c r="AM4" t="s">
        <v>881</v>
      </c>
    </row>
    <row r="5" spans="1:40" ht="14.45" customHeight="1">
      <c r="A5" s="81" t="s">
        <v>675</v>
      </c>
      <c r="B5" s="82" t="s">
        <v>25</v>
      </c>
      <c r="C5" s="82" t="s">
        <v>25</v>
      </c>
      <c r="D5" s="82" t="s">
        <v>25</v>
      </c>
      <c r="E5" s="82" t="s">
        <v>25</v>
      </c>
      <c r="F5" s="82" t="s">
        <v>25</v>
      </c>
      <c r="G5" s="82" t="s">
        <v>25</v>
      </c>
      <c r="H5" s="82" t="s">
        <v>25</v>
      </c>
      <c r="I5" s="82" t="s">
        <v>25</v>
      </c>
      <c r="J5" s="82" t="s">
        <v>25</v>
      </c>
      <c r="K5" s="82" t="s">
        <v>25</v>
      </c>
      <c r="L5" s="82" t="s">
        <v>25</v>
      </c>
      <c r="M5" s="82" t="s">
        <v>25</v>
      </c>
      <c r="N5" s="82" t="s">
        <v>25</v>
      </c>
      <c r="O5" s="64" t="s">
        <v>25</v>
      </c>
      <c r="P5" s="82">
        <f>COUNTIF(B5:O5,"✔")</f>
        <v>14</v>
      </c>
      <c r="Q5" s="83">
        <f>P5/14</f>
        <v>1</v>
      </c>
      <c r="R5" s="4" t="s">
        <v>26</v>
      </c>
      <c r="S5" t="s">
        <v>513</v>
      </c>
      <c r="T5" s="51" t="s">
        <v>34</v>
      </c>
      <c r="U5" s="51" t="s">
        <v>29</v>
      </c>
      <c r="V5" s="51" t="s">
        <v>53</v>
      </c>
      <c r="W5" s="51" t="s">
        <v>405</v>
      </c>
      <c r="X5" s="48" t="s">
        <v>406</v>
      </c>
      <c r="Y5" s="81" t="s">
        <v>1174</v>
      </c>
      <c r="Z5" s="48"/>
      <c r="AD5" t="s">
        <v>883</v>
      </c>
      <c r="AG5" t="s">
        <v>884</v>
      </c>
      <c r="AM5" t="s">
        <v>881</v>
      </c>
    </row>
    <row r="6" spans="1:40" ht="14.45" customHeight="1">
      <c r="A6" s="81" t="s">
        <v>676</v>
      </c>
      <c r="B6" s="49" t="s">
        <v>33</v>
      </c>
      <c r="C6" s="49" t="s">
        <v>33</v>
      </c>
      <c r="D6" s="82" t="s">
        <v>25</v>
      </c>
      <c r="E6" s="49" t="s">
        <v>33</v>
      </c>
      <c r="F6" s="49" t="s">
        <v>33</v>
      </c>
      <c r="G6" s="49" t="s">
        <v>33</v>
      </c>
      <c r="H6" s="49" t="s">
        <v>33</v>
      </c>
      <c r="I6" s="82" t="s">
        <v>25</v>
      </c>
      <c r="J6" s="49" t="s">
        <v>33</v>
      </c>
      <c r="K6" s="49" t="s">
        <v>33</v>
      </c>
      <c r="L6" s="49" t="s">
        <v>33</v>
      </c>
      <c r="M6" s="82" t="s">
        <v>25</v>
      </c>
      <c r="N6" s="49" t="s">
        <v>33</v>
      </c>
      <c r="O6" s="5" t="s">
        <v>33</v>
      </c>
      <c r="P6" s="82">
        <f>COUNTIF(B6:O6,"✔")</f>
        <v>3</v>
      </c>
      <c r="Q6" s="83">
        <f>P6/14</f>
        <v>0.21428571428571427</v>
      </c>
      <c r="R6" s="4" t="s">
        <v>26</v>
      </c>
      <c r="S6" t="s">
        <v>370</v>
      </c>
      <c r="T6" s="51" t="s">
        <v>34</v>
      </c>
      <c r="U6" s="51" t="s">
        <v>400</v>
      </c>
      <c r="V6" s="51" t="s">
        <v>401</v>
      </c>
      <c r="W6" s="51" t="s">
        <v>677</v>
      </c>
      <c r="X6" s="48" t="s">
        <v>678</v>
      </c>
      <c r="Y6" s="81" t="s">
        <v>1175</v>
      </c>
      <c r="Z6" s="48"/>
      <c r="AD6" t="s">
        <v>883</v>
      </c>
      <c r="AG6" t="s">
        <v>884</v>
      </c>
      <c r="AM6" t="s">
        <v>881</v>
      </c>
    </row>
    <row r="7" spans="1:40" ht="14.45" customHeight="1">
      <c r="A7" s="57" t="s">
        <v>679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5"/>
      <c r="R7" s="65"/>
      <c r="S7" s="66"/>
      <c r="T7" s="58"/>
      <c r="U7" s="58"/>
      <c r="V7" s="58"/>
      <c r="W7" s="58"/>
      <c r="X7" s="58"/>
      <c r="Y7" s="81"/>
      <c r="Z7" s="81"/>
    </row>
    <row r="8" spans="1:40" ht="14.45" customHeight="1">
      <c r="A8" s="81" t="s">
        <v>680</v>
      </c>
      <c r="B8" s="49" t="s">
        <v>33</v>
      </c>
      <c r="C8" s="82" t="s">
        <v>25</v>
      </c>
      <c r="D8" s="49" t="s">
        <v>33</v>
      </c>
      <c r="E8" s="49" t="s">
        <v>33</v>
      </c>
      <c r="F8" s="49" t="s">
        <v>33</v>
      </c>
      <c r="G8" s="49" t="s">
        <v>33</v>
      </c>
      <c r="H8" s="49" t="s">
        <v>33</v>
      </c>
      <c r="I8" s="82" t="s">
        <v>25</v>
      </c>
      <c r="J8" s="49" t="s">
        <v>33</v>
      </c>
      <c r="K8" s="49" t="s">
        <v>33</v>
      </c>
      <c r="L8" s="49" t="s">
        <v>33</v>
      </c>
      <c r="M8" s="49" t="s">
        <v>33</v>
      </c>
      <c r="N8" s="49" t="s">
        <v>33</v>
      </c>
      <c r="O8" s="5" t="s">
        <v>33</v>
      </c>
      <c r="P8" s="82">
        <f>COUNTIF(B8:O8,"✔")</f>
        <v>2</v>
      </c>
      <c r="Q8" s="83">
        <f>P8/14</f>
        <v>0.14285714285714285</v>
      </c>
      <c r="R8" s="4" t="s">
        <v>65</v>
      </c>
      <c r="S8" t="s">
        <v>681</v>
      </c>
      <c r="T8" s="51" t="s">
        <v>34</v>
      </c>
      <c r="U8" s="51" t="s">
        <v>29</v>
      </c>
      <c r="V8" s="51" t="s">
        <v>60</v>
      </c>
      <c r="W8" s="51" t="s">
        <v>378</v>
      </c>
      <c r="X8" s="48" t="s">
        <v>379</v>
      </c>
      <c r="Y8" s="81" t="s">
        <v>1176</v>
      </c>
      <c r="Z8" s="48"/>
      <c r="AA8" t="s">
        <v>895</v>
      </c>
      <c r="AD8" t="s">
        <v>950</v>
      </c>
      <c r="AG8" t="s">
        <v>884</v>
      </c>
      <c r="AM8" t="s">
        <v>881</v>
      </c>
    </row>
    <row r="9" spans="1:40" ht="14.45" customHeight="1">
      <c r="A9" s="81" t="s">
        <v>682</v>
      </c>
      <c r="B9" s="82" t="s">
        <v>25</v>
      </c>
      <c r="C9" s="49" t="s">
        <v>33</v>
      </c>
      <c r="D9" s="49" t="s">
        <v>33</v>
      </c>
      <c r="E9" s="49" t="s">
        <v>33</v>
      </c>
      <c r="F9" s="49" t="s">
        <v>33</v>
      </c>
      <c r="G9" s="49" t="s">
        <v>33</v>
      </c>
      <c r="H9" s="49" t="s">
        <v>33</v>
      </c>
      <c r="I9" s="49" t="s">
        <v>33</v>
      </c>
      <c r="J9" s="49" t="s">
        <v>33</v>
      </c>
      <c r="K9" s="82" t="s">
        <v>25</v>
      </c>
      <c r="L9" s="49" t="s">
        <v>33</v>
      </c>
      <c r="M9" s="82" t="s">
        <v>25</v>
      </c>
      <c r="N9" s="49" t="s">
        <v>33</v>
      </c>
      <c r="O9" s="5" t="s">
        <v>33</v>
      </c>
      <c r="P9" s="82">
        <f>COUNTIF(B9:O9,"✔")</f>
        <v>3</v>
      </c>
      <c r="Q9" s="83">
        <f>P9/14</f>
        <v>0.21428571428571427</v>
      </c>
      <c r="R9" s="4" t="s">
        <v>65</v>
      </c>
      <c r="S9" t="s">
        <v>403</v>
      </c>
      <c r="T9" s="51" t="s">
        <v>34</v>
      </c>
      <c r="U9" s="51" t="s">
        <v>29</v>
      </c>
      <c r="V9" s="51" t="s">
        <v>60</v>
      </c>
      <c r="W9" s="51" t="s">
        <v>378</v>
      </c>
      <c r="X9" s="48" t="s">
        <v>379</v>
      </c>
      <c r="Y9" s="81" t="s">
        <v>1177</v>
      </c>
      <c r="Z9" s="48"/>
      <c r="AA9" t="s">
        <v>895</v>
      </c>
      <c r="AD9" t="s">
        <v>950</v>
      </c>
      <c r="AG9" t="s">
        <v>884</v>
      </c>
      <c r="AM9" t="s">
        <v>881</v>
      </c>
    </row>
    <row r="10" spans="1:40" ht="15" customHeight="1">
      <c r="R10" s="4"/>
    </row>
  </sheetData>
  <dataValidations count="7">
    <dataValidation type="list" allowBlank="1" showInputMessage="1" sqref="AA2:AA10" xr:uid="{83891E2E-E111-4D95-B5C8-295E9C9F2A4E}">
      <mc:AlternateContent xmlns:x12ac="http://schemas.microsoft.com/office/spreadsheetml/2011/1/ac" xmlns:mc="http://schemas.openxmlformats.org/markup-compatibility/2006">
        <mc:Choice Requires="x12ac">
          <x12ac:list>"Mandatory,Optional,Out of scope,N/A"</x12ac:list>
        </mc:Choice>
        <mc:Fallback>
          <formula1>"Mandatory,Optional,Out of scope,N/A"</formula1>
        </mc:Fallback>
      </mc:AlternateContent>
    </dataValidation>
    <dataValidation type="list" allowBlank="1" showInputMessage="1" sqref="AD2:AD10" xr:uid="{47E7D22F-B991-4D0E-9B53-428B1C2E5A7F}">
      <mc:AlternateContent xmlns:x12ac="http://schemas.microsoft.com/office/spreadsheetml/2011/1/ac" xmlns:mc="http://schemas.openxmlformats.org/markup-compatibility/2006">
        <mc:Choice Requires="x12ac">
          <x12ac:list>"numeric,categorical,boolean,date,text,document,geometry,time series,reference,composite"</x12ac:list>
        </mc:Choice>
        <mc:Fallback>
          <formula1>"numeric,categorical,boolean,date,text,document,geometry,time series,reference,composite"</formula1>
        </mc:Fallback>
      </mc:AlternateContent>
    </dataValidation>
    <dataValidation type="list" allowBlank="1" showInputMessage="1" sqref="AG2:AG10" xr:uid="{B25F89AA-E8B0-4AA2-81FC-23906CF54542}">
      <mc:AlternateContent xmlns:x12ac="http://schemas.microsoft.com/office/spreadsheetml/2011/1/ac" xmlns:mc="http://schemas.openxmlformats.org/markup-compatibility/2006">
        <mc:Choice Requires="x12ac">
          <x12ac:list>"building,unit,zone,component,site / context,any level"</x12ac:list>
        </mc:Choice>
        <mc:Fallback>
          <formula1>"building,unit,zone,component,site / context,any level"</formula1>
        </mc:Fallback>
      </mc:AlternateContent>
    </dataValidation>
    <dataValidation type="list" allowBlank="1" showInputMessage="1" sqref="AH2:AH10" xr:uid="{4079C369-BAA4-49B3-91ED-5678C1C337E0}">
      <mc:AlternateContent xmlns:x12ac="http://schemas.microsoft.com/office/spreadsheetml/2011/1/ac" xmlns:mc="http://schemas.openxmlformats.org/markup-compatibility/2006">
        <mc:Choice Requires="x12ac">
          <x12ac:list>"static,historical,periodic,real-time"</x12ac:list>
        </mc:Choice>
        <mc:Fallback>
          <formula1>"static,historical,periodic,real-time"</formula1>
        </mc:Fallback>
      </mc:AlternateContent>
    </dataValidation>
    <dataValidation type="list" allowBlank="1" showInputMessage="1" sqref="AI2:AI10" xr:uid="{08DFF474-C4F7-4717-A9B7-78259455D1B3}">
      <mc:AlternateContent xmlns:x12ac="http://schemas.microsoft.com/office/spreadsheetml/2011/1/ac" xmlns:mc="http://schemas.openxmlformats.org/markup-compatibility/2006">
        <mc:Choice Requires="x12ac">
          <x12ac:list>"Public,Restricted,Personal data (GDPR),Commercially sensitive"</x12ac:list>
        </mc:Choice>
        <mc:Fallback>
          <formula1>"Public,Restricted,Personal data (GDPR),Commercially sensitive"</formula1>
        </mc:Fallback>
      </mc:AlternateContent>
    </dataValidation>
    <dataValidation type="list" allowBlank="1" showInputMessage="1" sqref="AL2:AL10" xr:uid="{B400164F-A245-44AB-AB27-BD9E91DD26CD}">
      <mc:AlternateContent xmlns:x12ac="http://schemas.microsoft.com/office/spreadsheetml/2011/1/ac" xmlns:mc="http://schemas.openxmlformats.org/markup-compatibility/2006">
        <mc:Choice Requires="x12ac">
          <x12ac:list>"open data,API,manual input,inspection,derived"</x12ac:list>
        </mc:Choice>
        <mc:Fallback>
          <formula1>"open data,API,manual input,inspection,derived"</formula1>
        </mc:Fallback>
      </mc:AlternateContent>
    </dataValidation>
    <dataValidation type="list" allowBlank="1" showInputMessage="1" sqref="AM2:AM10" xr:uid="{4FF3B05B-3CC5-48C0-84BA-BC3592ED0503}">
      <mc:AlternateContent xmlns:x12ac="http://schemas.microsoft.com/office/spreadsheetml/2011/1/ac" xmlns:mc="http://schemas.openxmlformats.org/markup-compatibility/2006">
        <mc:Choice Requires="x12ac">
          <x12ac:list>"Native,Workaround,Extension needed,Out of scope,N/A"</x12ac:list>
        </mc:Choice>
        <mc:Fallback>
          <formula1>"Native,Workaround,Extension needed,Out of scope,N/A"</formula1>
        </mc:Fallback>
      </mc:AlternateContent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1"/>
  <dimension ref="A1:AN31"/>
  <sheetViews>
    <sheetView zoomScaleNormal="100" workbookViewId="0">
      <pane xSplit="1" ySplit="1" topLeftCell="O2" activePane="bottomRight" state="frozen"/>
      <selection pane="topRight" activeCell="Q37" sqref="Q37"/>
      <selection pane="bottomLeft" activeCell="Q37" sqref="Q37"/>
      <selection pane="bottomRight" activeCell="P15" sqref="P15"/>
    </sheetView>
  </sheetViews>
  <sheetFormatPr defaultRowHeight="15" customHeight="1"/>
  <cols>
    <col min="1" max="1" width="50.7109375" customWidth="1"/>
    <col min="2" max="18" width="13.7109375" customWidth="1"/>
    <col min="19" max="22" width="20.7109375" customWidth="1"/>
    <col min="25" max="40" width="16.7109375" customWidth="1"/>
  </cols>
  <sheetData>
    <row r="1" spans="1:40" ht="75" customHeight="1">
      <c r="A1" s="76" t="s">
        <v>859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67" t="s">
        <v>17</v>
      </c>
      <c r="S1" s="67" t="s">
        <v>18</v>
      </c>
      <c r="T1" s="78" t="s">
        <v>19</v>
      </c>
      <c r="U1" s="78" t="s">
        <v>20</v>
      </c>
      <c r="V1" s="77" t="s">
        <v>21</v>
      </c>
      <c r="W1" s="77" t="s">
        <v>22</v>
      </c>
      <c r="X1" s="77" t="s">
        <v>23</v>
      </c>
      <c r="Y1" s="77" t="s">
        <v>862</v>
      </c>
      <c r="Z1" s="77" t="s">
        <v>863</v>
      </c>
      <c r="AA1" s="77" t="s">
        <v>864</v>
      </c>
      <c r="AB1" s="77" t="s">
        <v>865</v>
      </c>
      <c r="AC1" s="77" t="s">
        <v>866</v>
      </c>
      <c r="AD1" s="77" t="s">
        <v>867</v>
      </c>
      <c r="AE1" s="77" t="s">
        <v>868</v>
      </c>
      <c r="AF1" s="77" t="s">
        <v>869</v>
      </c>
      <c r="AG1" s="77" t="s">
        <v>870</v>
      </c>
      <c r="AH1" s="77" t="s">
        <v>871</v>
      </c>
      <c r="AI1" s="77" t="s">
        <v>872</v>
      </c>
      <c r="AJ1" s="77" t="s">
        <v>873</v>
      </c>
      <c r="AK1" s="77" t="s">
        <v>874</v>
      </c>
      <c r="AL1" s="77" t="s">
        <v>875</v>
      </c>
      <c r="AM1" s="77" t="s">
        <v>876</v>
      </c>
      <c r="AN1" s="77" t="s">
        <v>877</v>
      </c>
    </row>
    <row r="2" spans="1:40" ht="14.45" customHeight="1">
      <c r="A2" s="57" t="s">
        <v>683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65"/>
      <c r="S2" s="66"/>
      <c r="T2" s="58"/>
      <c r="U2" s="58"/>
      <c r="V2" s="58"/>
      <c r="W2" s="58"/>
      <c r="X2" s="58"/>
    </row>
    <row r="3" spans="1:40" ht="14.45" customHeight="1">
      <c r="A3" s="81" t="s">
        <v>684</v>
      </c>
      <c r="B3" s="81" t="s">
        <v>25</v>
      </c>
      <c r="C3" s="54" t="s">
        <v>33</v>
      </c>
      <c r="D3" s="81" t="s">
        <v>25</v>
      </c>
      <c r="E3" s="81" t="s">
        <v>25</v>
      </c>
      <c r="F3" s="54" t="s">
        <v>33</v>
      </c>
      <c r="G3" s="81" t="s">
        <v>25</v>
      </c>
      <c r="H3" s="81" t="s">
        <v>25</v>
      </c>
      <c r="I3" s="81" t="s">
        <v>25</v>
      </c>
      <c r="J3" s="81" t="s">
        <v>25</v>
      </c>
      <c r="K3" s="54" t="s">
        <v>33</v>
      </c>
      <c r="L3" s="54" t="s">
        <v>33</v>
      </c>
      <c r="M3" s="54" t="s">
        <v>33</v>
      </c>
      <c r="N3" s="54" t="s">
        <v>33</v>
      </c>
      <c r="O3" s="11" t="s">
        <v>33</v>
      </c>
      <c r="P3" s="82">
        <f>COUNTIF(B3:O3,"✔")</f>
        <v>7</v>
      </c>
      <c r="Q3" s="83">
        <f>P3/14</f>
        <v>0.5</v>
      </c>
      <c r="R3" s="4" t="s">
        <v>26</v>
      </c>
      <c r="S3" t="s">
        <v>370</v>
      </c>
      <c r="T3" s="48" t="s">
        <v>34</v>
      </c>
      <c r="U3" s="48" t="s">
        <v>29</v>
      </c>
      <c r="V3" s="48" t="s">
        <v>35</v>
      </c>
      <c r="W3" s="48" t="s">
        <v>142</v>
      </c>
      <c r="X3" s="48" t="s">
        <v>143</v>
      </c>
      <c r="Y3" t="s">
        <v>1178</v>
      </c>
      <c r="AD3" t="s">
        <v>879</v>
      </c>
      <c r="AG3" t="s">
        <v>884</v>
      </c>
      <c r="AM3" t="s">
        <v>916</v>
      </c>
      <c r="AN3" t="s">
        <v>142</v>
      </c>
    </row>
    <row r="4" spans="1:40" ht="14.45" customHeight="1">
      <c r="A4" s="81" t="s">
        <v>685</v>
      </c>
      <c r="B4" s="54" t="s">
        <v>33</v>
      </c>
      <c r="C4" s="54" t="s">
        <v>33</v>
      </c>
      <c r="D4" s="54" t="s">
        <v>33</v>
      </c>
      <c r="E4" s="54" t="s">
        <v>33</v>
      </c>
      <c r="F4" s="54" t="s">
        <v>33</v>
      </c>
      <c r="G4" s="54" t="s">
        <v>33</v>
      </c>
      <c r="H4" s="81" t="s">
        <v>25</v>
      </c>
      <c r="I4" s="54" t="s">
        <v>33</v>
      </c>
      <c r="J4" s="81" t="s">
        <v>25</v>
      </c>
      <c r="K4" s="54" t="s">
        <v>33</v>
      </c>
      <c r="L4" s="54" t="s">
        <v>33</v>
      </c>
      <c r="M4" s="54" t="s">
        <v>33</v>
      </c>
      <c r="N4" s="54" t="s">
        <v>33</v>
      </c>
      <c r="O4" s="11" t="s">
        <v>33</v>
      </c>
      <c r="P4" s="82">
        <f>COUNTIF(B4:O4,"✔")</f>
        <v>2</v>
      </c>
      <c r="Q4" s="83">
        <f>P4/14</f>
        <v>0.14285714285714285</v>
      </c>
      <c r="R4" s="4" t="s">
        <v>26</v>
      </c>
      <c r="S4" t="s">
        <v>370</v>
      </c>
      <c r="T4" s="48" t="s">
        <v>34</v>
      </c>
      <c r="U4" s="48" t="s">
        <v>29</v>
      </c>
      <c r="V4" s="48" t="s">
        <v>35</v>
      </c>
      <c r="W4" s="48" t="s">
        <v>142</v>
      </c>
      <c r="X4" s="48" t="s">
        <v>143</v>
      </c>
      <c r="Y4" t="s">
        <v>1179</v>
      </c>
      <c r="AD4" t="s">
        <v>879</v>
      </c>
      <c r="AG4" t="s">
        <v>884</v>
      </c>
      <c r="AM4" t="s">
        <v>916</v>
      </c>
      <c r="AN4" t="s">
        <v>142</v>
      </c>
    </row>
    <row r="5" spans="1:40" ht="14.45" customHeight="1">
      <c r="A5" s="81" t="s">
        <v>686</v>
      </c>
      <c r="B5" s="54" t="s">
        <v>33</v>
      </c>
      <c r="C5" s="54" t="s">
        <v>33</v>
      </c>
      <c r="D5" s="54" t="s">
        <v>33</v>
      </c>
      <c r="E5" s="54" t="s">
        <v>33</v>
      </c>
      <c r="F5" s="54" t="s">
        <v>33</v>
      </c>
      <c r="G5" s="54" t="s">
        <v>33</v>
      </c>
      <c r="H5" s="54" t="s">
        <v>33</v>
      </c>
      <c r="I5" s="54" t="s">
        <v>33</v>
      </c>
      <c r="J5" s="81" t="s">
        <v>25</v>
      </c>
      <c r="K5" s="54" t="s">
        <v>33</v>
      </c>
      <c r="L5" s="54" t="s">
        <v>33</v>
      </c>
      <c r="M5" s="54" t="s">
        <v>33</v>
      </c>
      <c r="N5" s="54" t="s">
        <v>33</v>
      </c>
      <c r="O5" s="11" t="s">
        <v>33</v>
      </c>
      <c r="P5" s="82">
        <f>COUNTIF(B5:O5,"✔")</f>
        <v>1</v>
      </c>
      <c r="Q5" s="83">
        <f>P5/14</f>
        <v>7.1428571428571425E-2</v>
      </c>
      <c r="R5" s="4" t="s">
        <v>26</v>
      </c>
      <c r="S5" t="s">
        <v>370</v>
      </c>
      <c r="T5" s="48" t="s">
        <v>34</v>
      </c>
      <c r="U5" s="48" t="s">
        <v>29</v>
      </c>
      <c r="V5" s="48" t="s">
        <v>35</v>
      </c>
      <c r="W5" s="48" t="s">
        <v>142</v>
      </c>
      <c r="X5" s="48" t="s">
        <v>143</v>
      </c>
      <c r="Y5" t="s">
        <v>1180</v>
      </c>
      <c r="AD5" t="s">
        <v>879</v>
      </c>
      <c r="AG5" t="s">
        <v>884</v>
      </c>
      <c r="AM5" t="s">
        <v>916</v>
      </c>
      <c r="AN5" t="s">
        <v>142</v>
      </c>
    </row>
    <row r="6" spans="1:40" ht="14.45" customHeight="1">
      <c r="A6" s="81" t="s">
        <v>687</v>
      </c>
      <c r="B6" s="54" t="s">
        <v>33</v>
      </c>
      <c r="C6" s="54" t="s">
        <v>33</v>
      </c>
      <c r="D6" s="81" t="s">
        <v>25</v>
      </c>
      <c r="E6" s="54" t="s">
        <v>33</v>
      </c>
      <c r="F6" s="54" t="s">
        <v>33</v>
      </c>
      <c r="G6" s="54" t="s">
        <v>33</v>
      </c>
      <c r="H6" s="54" t="s">
        <v>33</v>
      </c>
      <c r="I6" s="54" t="s">
        <v>33</v>
      </c>
      <c r="J6" s="54" t="s">
        <v>33</v>
      </c>
      <c r="K6" s="54" t="s">
        <v>33</v>
      </c>
      <c r="L6" s="54" t="s">
        <v>33</v>
      </c>
      <c r="M6" s="54" t="s">
        <v>33</v>
      </c>
      <c r="N6" s="54" t="s">
        <v>33</v>
      </c>
      <c r="O6" s="11" t="s">
        <v>33</v>
      </c>
      <c r="P6" s="82">
        <f>COUNTIF(B6:O6,"✔")</f>
        <v>1</v>
      </c>
      <c r="Q6" s="83">
        <f>P6/14</f>
        <v>7.1428571428571425E-2</v>
      </c>
      <c r="R6" s="4" t="s">
        <v>26</v>
      </c>
      <c r="S6" t="s">
        <v>403</v>
      </c>
      <c r="T6" s="48" t="s">
        <v>34</v>
      </c>
      <c r="U6" s="48" t="s">
        <v>29</v>
      </c>
      <c r="V6" s="48" t="s">
        <v>60</v>
      </c>
      <c r="W6" s="48" t="s">
        <v>378</v>
      </c>
      <c r="X6" s="48" t="s">
        <v>379</v>
      </c>
      <c r="Y6" t="s">
        <v>1181</v>
      </c>
      <c r="AD6" t="s">
        <v>950</v>
      </c>
      <c r="AG6" t="s">
        <v>884</v>
      </c>
      <c r="AM6" t="s">
        <v>881</v>
      </c>
    </row>
    <row r="7" spans="1:40" ht="14.45" customHeight="1">
      <c r="A7" s="57" t="s">
        <v>688</v>
      </c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84"/>
      <c r="Q7" s="85"/>
      <c r="R7" s="65"/>
      <c r="S7" s="66"/>
      <c r="T7" s="58"/>
      <c r="U7" s="58"/>
      <c r="V7" s="58"/>
      <c r="W7" s="58"/>
      <c r="X7" s="58"/>
    </row>
    <row r="8" spans="1:40" ht="14.45" customHeight="1">
      <c r="A8" s="81" t="s">
        <v>689</v>
      </c>
      <c r="B8" s="81" t="s">
        <v>25</v>
      </c>
      <c r="C8" s="54" t="s">
        <v>33</v>
      </c>
      <c r="D8" s="54" t="s">
        <v>33</v>
      </c>
      <c r="E8" s="81" t="s">
        <v>25</v>
      </c>
      <c r="F8" s="54" t="s">
        <v>33</v>
      </c>
      <c r="G8" s="54" t="s">
        <v>33</v>
      </c>
      <c r="H8" s="81" t="s">
        <v>25</v>
      </c>
      <c r="I8" s="81" t="s">
        <v>25</v>
      </c>
      <c r="J8" s="54" t="s">
        <v>33</v>
      </c>
      <c r="K8" s="54" t="s">
        <v>33</v>
      </c>
      <c r="L8" s="54" t="s">
        <v>33</v>
      </c>
      <c r="M8" s="54" t="s">
        <v>33</v>
      </c>
      <c r="N8" s="54" t="s">
        <v>33</v>
      </c>
      <c r="O8" s="11" t="s">
        <v>33</v>
      </c>
      <c r="P8" s="82">
        <f t="shared" ref="P8:P14" si="0">COUNTIF(B8:O8,"✔")</f>
        <v>4</v>
      </c>
      <c r="Q8" s="83">
        <f t="shared" ref="Q8:Q14" si="1">P8/14</f>
        <v>0.2857142857142857</v>
      </c>
      <c r="R8" s="4" t="s">
        <v>26</v>
      </c>
      <c r="S8" t="s">
        <v>690</v>
      </c>
      <c r="T8" s="48" t="s">
        <v>34</v>
      </c>
      <c r="U8" s="48" t="s">
        <v>172</v>
      </c>
      <c r="V8" s="48" t="s">
        <v>691</v>
      </c>
      <c r="W8" s="46" t="s">
        <v>692</v>
      </c>
      <c r="X8" s="48"/>
      <c r="Y8" t="s">
        <v>1182</v>
      </c>
      <c r="AG8" t="s">
        <v>910</v>
      </c>
      <c r="AM8" t="s">
        <v>916</v>
      </c>
      <c r="AN8" t="s">
        <v>1183</v>
      </c>
    </row>
    <row r="9" spans="1:40" ht="14.45" customHeight="1">
      <c r="A9" s="81" t="s">
        <v>693</v>
      </c>
      <c r="B9" s="81" t="s">
        <v>25</v>
      </c>
      <c r="C9" s="54" t="s">
        <v>33</v>
      </c>
      <c r="D9" s="54" t="s">
        <v>33</v>
      </c>
      <c r="E9" s="54" t="s">
        <v>33</v>
      </c>
      <c r="F9" s="54" t="s">
        <v>33</v>
      </c>
      <c r="G9" s="54" t="s">
        <v>33</v>
      </c>
      <c r="H9" s="81" t="s">
        <v>25</v>
      </c>
      <c r="I9" s="54" t="s">
        <v>33</v>
      </c>
      <c r="J9" s="54" t="s">
        <v>33</v>
      </c>
      <c r="K9" s="54" t="s">
        <v>33</v>
      </c>
      <c r="L9" s="54" t="s">
        <v>33</v>
      </c>
      <c r="M9" s="54" t="s">
        <v>33</v>
      </c>
      <c r="N9" s="54" t="s">
        <v>33</v>
      </c>
      <c r="O9" s="11" t="s">
        <v>33</v>
      </c>
      <c r="P9" s="82">
        <f t="shared" si="0"/>
        <v>2</v>
      </c>
      <c r="Q9" s="83">
        <f t="shared" si="1"/>
        <v>0.14285714285714285</v>
      </c>
      <c r="R9" s="4" t="s">
        <v>26</v>
      </c>
      <c r="S9" t="s">
        <v>690</v>
      </c>
      <c r="T9" s="48" t="s">
        <v>34</v>
      </c>
      <c r="U9" s="48" t="s">
        <v>172</v>
      </c>
      <c r="V9" s="48" t="s">
        <v>691</v>
      </c>
      <c r="W9" s="48" t="s">
        <v>174</v>
      </c>
      <c r="X9" s="48" t="s">
        <v>107</v>
      </c>
      <c r="Y9" t="s">
        <v>1184</v>
      </c>
      <c r="AD9" t="s">
        <v>899</v>
      </c>
      <c r="AG9" t="s">
        <v>910</v>
      </c>
      <c r="AM9" t="s">
        <v>881</v>
      </c>
    </row>
    <row r="10" spans="1:40" ht="14.45" customHeight="1">
      <c r="A10" s="81" t="s">
        <v>694</v>
      </c>
      <c r="B10" s="81" t="s">
        <v>25</v>
      </c>
      <c r="C10" s="54" t="s">
        <v>33</v>
      </c>
      <c r="D10" s="54" t="s">
        <v>33</v>
      </c>
      <c r="E10" s="54" t="s">
        <v>33</v>
      </c>
      <c r="F10" s="54" t="s">
        <v>33</v>
      </c>
      <c r="G10" s="54" t="s">
        <v>33</v>
      </c>
      <c r="H10" s="54" t="s">
        <v>33</v>
      </c>
      <c r="I10" s="54" t="s">
        <v>33</v>
      </c>
      <c r="J10" s="54" t="s">
        <v>33</v>
      </c>
      <c r="K10" s="54" t="s">
        <v>33</v>
      </c>
      <c r="L10" s="54" t="s">
        <v>33</v>
      </c>
      <c r="M10" s="54" t="s">
        <v>33</v>
      </c>
      <c r="N10" s="54" t="s">
        <v>33</v>
      </c>
      <c r="O10" s="11" t="s">
        <v>33</v>
      </c>
      <c r="P10" s="82">
        <f t="shared" si="0"/>
        <v>1</v>
      </c>
      <c r="Q10" s="83">
        <f t="shared" si="1"/>
        <v>7.1428571428571425E-2</v>
      </c>
      <c r="R10" s="4" t="s">
        <v>65</v>
      </c>
      <c r="S10" t="s">
        <v>695</v>
      </c>
      <c r="T10" s="48" t="s">
        <v>33</v>
      </c>
      <c r="U10" s="48" t="s">
        <v>33</v>
      </c>
      <c r="V10" s="48"/>
      <c r="W10" s="48"/>
      <c r="X10" s="48"/>
      <c r="Y10" t="s">
        <v>1185</v>
      </c>
      <c r="AA10" t="s">
        <v>895</v>
      </c>
      <c r="AM10" t="s">
        <v>895</v>
      </c>
    </row>
    <row r="11" spans="1:40" ht="14.45" customHeight="1">
      <c r="A11" s="81" t="s">
        <v>696</v>
      </c>
      <c r="B11" s="81" t="s">
        <v>25</v>
      </c>
      <c r="C11" s="54" t="s">
        <v>33</v>
      </c>
      <c r="D11" s="54" t="s">
        <v>33</v>
      </c>
      <c r="E11" s="54" t="s">
        <v>33</v>
      </c>
      <c r="F11" s="54" t="s">
        <v>33</v>
      </c>
      <c r="G11" s="54" t="s">
        <v>33</v>
      </c>
      <c r="H11" s="54" t="s">
        <v>33</v>
      </c>
      <c r="I11" s="54" t="s">
        <v>33</v>
      </c>
      <c r="J11" s="54" t="s">
        <v>33</v>
      </c>
      <c r="K11" s="54" t="s">
        <v>33</v>
      </c>
      <c r="L11" s="54" t="s">
        <v>33</v>
      </c>
      <c r="M11" s="54" t="s">
        <v>33</v>
      </c>
      <c r="N11" s="54" t="s">
        <v>33</v>
      </c>
      <c r="O11" s="11" t="s">
        <v>33</v>
      </c>
      <c r="P11" s="82">
        <f t="shared" si="0"/>
        <v>1</v>
      </c>
      <c r="Q11" s="83">
        <f t="shared" si="1"/>
        <v>7.1428571428571425E-2</v>
      </c>
      <c r="R11" s="4" t="s">
        <v>65</v>
      </c>
      <c r="S11" t="s">
        <v>697</v>
      </c>
      <c r="T11" s="48" t="s">
        <v>33</v>
      </c>
      <c r="U11" s="48" t="s">
        <v>33</v>
      </c>
      <c r="V11" s="48"/>
      <c r="W11" s="48"/>
      <c r="X11" s="48"/>
      <c r="Y11" t="s">
        <v>1186</v>
      </c>
      <c r="AA11" t="s">
        <v>895</v>
      </c>
      <c r="AM11" t="s">
        <v>895</v>
      </c>
    </row>
    <row r="12" spans="1:40" ht="14.45" customHeight="1">
      <c r="A12" s="81" t="s">
        <v>698</v>
      </c>
      <c r="B12" s="81" t="s">
        <v>25</v>
      </c>
      <c r="C12" s="54" t="s">
        <v>33</v>
      </c>
      <c r="D12" s="54" t="s">
        <v>33</v>
      </c>
      <c r="E12" s="54" t="s">
        <v>33</v>
      </c>
      <c r="F12" s="54" t="s">
        <v>33</v>
      </c>
      <c r="G12" s="54" t="s">
        <v>33</v>
      </c>
      <c r="H12" s="54" t="s">
        <v>33</v>
      </c>
      <c r="I12" s="54" t="s">
        <v>33</v>
      </c>
      <c r="J12" s="54" t="s">
        <v>33</v>
      </c>
      <c r="K12" s="54" t="s">
        <v>33</v>
      </c>
      <c r="L12" s="54" t="s">
        <v>33</v>
      </c>
      <c r="M12" s="54" t="s">
        <v>33</v>
      </c>
      <c r="N12" s="54" t="s">
        <v>33</v>
      </c>
      <c r="O12" s="11" t="s">
        <v>33</v>
      </c>
      <c r="P12" s="82">
        <f t="shared" si="0"/>
        <v>1</v>
      </c>
      <c r="Q12" s="83">
        <f t="shared" si="1"/>
        <v>7.1428571428571425E-2</v>
      </c>
      <c r="R12" s="4" t="s">
        <v>26</v>
      </c>
      <c r="S12" t="s">
        <v>370</v>
      </c>
      <c r="T12" s="48" t="s">
        <v>34</v>
      </c>
      <c r="U12" s="48" t="s">
        <v>172</v>
      </c>
      <c r="V12" s="48" t="s">
        <v>691</v>
      </c>
      <c r="W12" s="48" t="s">
        <v>699</v>
      </c>
      <c r="X12" s="48" t="s">
        <v>700</v>
      </c>
      <c r="Y12" t="s">
        <v>1187</v>
      </c>
      <c r="AD12" t="s">
        <v>883</v>
      </c>
      <c r="AG12" t="s">
        <v>910</v>
      </c>
      <c r="AM12" t="s">
        <v>881</v>
      </c>
    </row>
    <row r="13" spans="1:40" ht="14.45" customHeight="1">
      <c r="A13" s="81" t="s">
        <v>701</v>
      </c>
      <c r="B13" s="81" t="s">
        <v>25</v>
      </c>
      <c r="C13" s="54" t="s">
        <v>33</v>
      </c>
      <c r="D13" s="54" t="s">
        <v>33</v>
      </c>
      <c r="E13" s="54" t="s">
        <v>33</v>
      </c>
      <c r="F13" s="54" t="s">
        <v>33</v>
      </c>
      <c r="G13" s="54" t="s">
        <v>33</v>
      </c>
      <c r="H13" s="54" t="s">
        <v>33</v>
      </c>
      <c r="I13" s="54" t="s">
        <v>33</v>
      </c>
      <c r="J13" s="54" t="s">
        <v>33</v>
      </c>
      <c r="K13" s="54" t="s">
        <v>33</v>
      </c>
      <c r="L13" s="54" t="s">
        <v>33</v>
      </c>
      <c r="M13" s="54" t="s">
        <v>33</v>
      </c>
      <c r="N13" s="54" t="s">
        <v>33</v>
      </c>
      <c r="O13" s="11" t="s">
        <v>33</v>
      </c>
      <c r="P13" s="82">
        <f t="shared" si="0"/>
        <v>1</v>
      </c>
      <c r="Q13" s="83">
        <f t="shared" si="1"/>
        <v>7.1428571428571425E-2</v>
      </c>
      <c r="R13" s="4" t="s">
        <v>26</v>
      </c>
      <c r="S13" t="s">
        <v>370</v>
      </c>
      <c r="T13" s="48" t="s">
        <v>34</v>
      </c>
      <c r="U13" s="48" t="s">
        <v>172</v>
      </c>
      <c r="V13" s="48" t="s">
        <v>691</v>
      </c>
      <c r="W13" s="48" t="s">
        <v>85</v>
      </c>
      <c r="X13" s="48" t="s">
        <v>702</v>
      </c>
      <c r="Y13" t="s">
        <v>1188</v>
      </c>
      <c r="AD13" t="s">
        <v>883</v>
      </c>
      <c r="AG13" t="s">
        <v>910</v>
      </c>
      <c r="AM13" t="s">
        <v>881</v>
      </c>
    </row>
    <row r="14" spans="1:40" ht="14.45" customHeight="1">
      <c r="A14" s="81" t="s">
        <v>703</v>
      </c>
      <c r="B14" s="81" t="s">
        <v>25</v>
      </c>
      <c r="C14" s="54" t="s">
        <v>33</v>
      </c>
      <c r="D14" s="54" t="s">
        <v>33</v>
      </c>
      <c r="E14" s="54" t="s">
        <v>33</v>
      </c>
      <c r="F14" s="54" t="s">
        <v>33</v>
      </c>
      <c r="G14" s="54" t="s">
        <v>33</v>
      </c>
      <c r="H14" s="54" t="s">
        <v>33</v>
      </c>
      <c r="I14" s="54" t="s">
        <v>33</v>
      </c>
      <c r="J14" s="54" t="s">
        <v>33</v>
      </c>
      <c r="K14" s="54" t="s">
        <v>33</v>
      </c>
      <c r="L14" s="54" t="s">
        <v>33</v>
      </c>
      <c r="M14" s="54" t="s">
        <v>33</v>
      </c>
      <c r="N14" s="54" t="s">
        <v>33</v>
      </c>
      <c r="O14" s="11" t="s">
        <v>33</v>
      </c>
      <c r="P14" s="82">
        <f t="shared" si="0"/>
        <v>1</v>
      </c>
      <c r="Q14" s="83">
        <f t="shared" si="1"/>
        <v>7.1428571428571425E-2</v>
      </c>
      <c r="R14" s="4" t="s">
        <v>26</v>
      </c>
      <c r="S14" t="s">
        <v>370</v>
      </c>
      <c r="T14" s="48" t="s">
        <v>34</v>
      </c>
      <c r="U14" s="48" t="s">
        <v>172</v>
      </c>
      <c r="V14" s="48" t="s">
        <v>691</v>
      </c>
      <c r="W14" s="48" t="s">
        <v>365</v>
      </c>
      <c r="X14" s="48" t="s">
        <v>192</v>
      </c>
      <c r="Y14" t="s">
        <v>1189</v>
      </c>
      <c r="AD14" t="s">
        <v>899</v>
      </c>
      <c r="AG14" t="s">
        <v>910</v>
      </c>
      <c r="AM14" t="s">
        <v>881</v>
      </c>
    </row>
    <row r="15" spans="1:40" ht="14.45" customHeight="1">
      <c r="A15" s="81"/>
      <c r="B15" s="81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82"/>
      <c r="Q15" s="83"/>
      <c r="R15" s="4"/>
      <c r="T15" s="48" t="s">
        <v>34</v>
      </c>
      <c r="U15" s="48" t="s">
        <v>172</v>
      </c>
      <c r="V15" s="48" t="s">
        <v>691</v>
      </c>
      <c r="W15" s="48" t="s">
        <v>704</v>
      </c>
      <c r="X15" s="48" t="s">
        <v>705</v>
      </c>
    </row>
    <row r="16" spans="1:40" ht="14.45" customHeight="1">
      <c r="A16" s="81"/>
      <c r="B16" s="81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Q16" s="83"/>
      <c r="R16" s="4"/>
      <c r="T16" s="48" t="s">
        <v>34</v>
      </c>
      <c r="U16" s="48" t="s">
        <v>172</v>
      </c>
      <c r="V16" s="48" t="s">
        <v>691</v>
      </c>
      <c r="W16" s="48" t="s">
        <v>706</v>
      </c>
      <c r="X16" s="48" t="s">
        <v>707</v>
      </c>
    </row>
    <row r="17" spans="1:40" ht="14.45" customHeight="1">
      <c r="A17" s="81" t="s">
        <v>708</v>
      </c>
      <c r="B17" s="81" t="s">
        <v>25</v>
      </c>
      <c r="C17" s="54" t="s">
        <v>33</v>
      </c>
      <c r="D17" s="54" t="s">
        <v>33</v>
      </c>
      <c r="E17" s="54" t="s">
        <v>33</v>
      </c>
      <c r="F17" s="54" t="s">
        <v>33</v>
      </c>
      <c r="G17" s="81" t="s">
        <v>25</v>
      </c>
      <c r="H17" s="54" t="s">
        <v>33</v>
      </c>
      <c r="I17" s="54" t="s">
        <v>33</v>
      </c>
      <c r="J17" s="54" t="s">
        <v>33</v>
      </c>
      <c r="K17" s="54" t="s">
        <v>33</v>
      </c>
      <c r="L17" s="54" t="s">
        <v>33</v>
      </c>
      <c r="M17" s="54" t="s">
        <v>33</v>
      </c>
      <c r="N17" s="54" t="s">
        <v>33</v>
      </c>
      <c r="O17" s="11" t="s">
        <v>33</v>
      </c>
      <c r="P17" s="82">
        <f>COUNTIF(B17:O17,"✔")</f>
        <v>2</v>
      </c>
      <c r="Q17" s="83">
        <f>P17/14</f>
        <v>0.14285714285714285</v>
      </c>
      <c r="R17" s="4" t="s">
        <v>26</v>
      </c>
      <c r="S17" t="s">
        <v>370</v>
      </c>
      <c r="T17" s="48" t="s">
        <v>34</v>
      </c>
      <c r="U17" s="48" t="s">
        <v>172</v>
      </c>
      <c r="V17" s="48" t="s">
        <v>691</v>
      </c>
      <c r="W17" s="48" t="s">
        <v>709</v>
      </c>
      <c r="X17" s="48" t="s">
        <v>152</v>
      </c>
      <c r="Y17" t="s">
        <v>1190</v>
      </c>
      <c r="AD17" t="s">
        <v>920</v>
      </c>
      <c r="AG17" t="s">
        <v>910</v>
      </c>
      <c r="AM17" t="s">
        <v>881</v>
      </c>
    </row>
    <row r="18" spans="1:40" ht="14.45" customHeight="1">
      <c r="A18" s="81" t="s">
        <v>710</v>
      </c>
      <c r="B18" s="81" t="s">
        <v>25</v>
      </c>
      <c r="C18" s="54" t="s">
        <v>33</v>
      </c>
      <c r="D18" s="54" t="s">
        <v>33</v>
      </c>
      <c r="E18" s="54" t="s">
        <v>33</v>
      </c>
      <c r="F18" s="54" t="s">
        <v>33</v>
      </c>
      <c r="G18" s="81" t="s">
        <v>25</v>
      </c>
      <c r="H18" s="54" t="s">
        <v>33</v>
      </c>
      <c r="I18" s="54" t="s">
        <v>33</v>
      </c>
      <c r="J18" s="54" t="s">
        <v>33</v>
      </c>
      <c r="K18" s="54" t="s">
        <v>33</v>
      </c>
      <c r="L18" s="54" t="s">
        <v>33</v>
      </c>
      <c r="M18" s="54" t="s">
        <v>33</v>
      </c>
      <c r="N18" s="54" t="s">
        <v>33</v>
      </c>
      <c r="O18" s="11" t="s">
        <v>33</v>
      </c>
      <c r="P18" s="82">
        <f>COUNTIF(B18:O18,"✔")</f>
        <v>2</v>
      </c>
      <c r="Q18" s="83">
        <f>P18/14</f>
        <v>0.14285714285714285</v>
      </c>
      <c r="R18" s="4" t="s">
        <v>26</v>
      </c>
      <c r="S18" t="s">
        <v>370</v>
      </c>
      <c r="T18" s="48" t="s">
        <v>34</v>
      </c>
      <c r="U18" s="48" t="s">
        <v>172</v>
      </c>
      <c r="V18" s="48" t="s">
        <v>691</v>
      </c>
      <c r="W18" s="48" t="s">
        <v>706</v>
      </c>
      <c r="X18" s="48" t="s">
        <v>707</v>
      </c>
      <c r="Y18" t="s">
        <v>1191</v>
      </c>
      <c r="AD18" t="s">
        <v>883</v>
      </c>
      <c r="AG18" t="s">
        <v>910</v>
      </c>
      <c r="AM18" t="s">
        <v>881</v>
      </c>
    </row>
    <row r="19" spans="1:40" ht="14.45" customHeight="1">
      <c r="A19" s="57" t="s">
        <v>711</v>
      </c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84"/>
      <c r="Q19" s="85"/>
      <c r="R19" s="65"/>
      <c r="S19" s="66"/>
      <c r="T19" s="58"/>
      <c r="U19" s="58"/>
      <c r="V19" s="58"/>
      <c r="W19" s="58"/>
      <c r="X19" s="58"/>
    </row>
    <row r="20" spans="1:40" ht="14.45" customHeight="1">
      <c r="A20" s="81" t="s">
        <v>712</v>
      </c>
      <c r="B20" s="54" t="s">
        <v>33</v>
      </c>
      <c r="C20" s="81" t="s">
        <v>25</v>
      </c>
      <c r="D20" s="54" t="s">
        <v>33</v>
      </c>
      <c r="E20" s="54" t="s">
        <v>33</v>
      </c>
      <c r="F20" s="54" t="s">
        <v>33</v>
      </c>
      <c r="G20" s="81" t="s">
        <v>25</v>
      </c>
      <c r="H20" s="54" t="s">
        <v>33</v>
      </c>
      <c r="I20" s="54" t="s">
        <v>33</v>
      </c>
      <c r="J20" s="81" t="s">
        <v>25</v>
      </c>
      <c r="K20" s="81" t="s">
        <v>25</v>
      </c>
      <c r="L20" s="54" t="s">
        <v>33</v>
      </c>
      <c r="M20" s="54" t="s">
        <v>33</v>
      </c>
      <c r="N20" s="54" t="s">
        <v>33</v>
      </c>
      <c r="O20" s="11" t="s">
        <v>33</v>
      </c>
      <c r="P20" s="82">
        <f>COUNTIF(B20:O20,"✔")</f>
        <v>4</v>
      </c>
      <c r="Q20" s="83">
        <f>P20/14</f>
        <v>0.2857142857142857</v>
      </c>
      <c r="R20" s="4" t="s">
        <v>26</v>
      </c>
      <c r="S20" t="s">
        <v>713</v>
      </c>
      <c r="T20" s="48" t="s">
        <v>34</v>
      </c>
      <c r="U20" s="48" t="s">
        <v>172</v>
      </c>
      <c r="V20" s="48" t="s">
        <v>714</v>
      </c>
      <c r="W20" s="46" t="s">
        <v>31</v>
      </c>
      <c r="X20" s="46" t="s">
        <v>31</v>
      </c>
      <c r="Y20" t="s">
        <v>1192</v>
      </c>
      <c r="AD20" t="s">
        <v>879</v>
      </c>
      <c r="AG20" t="s">
        <v>910</v>
      </c>
      <c r="AM20" t="s">
        <v>881</v>
      </c>
    </row>
    <row r="21" spans="1:40" ht="14.45" customHeight="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82"/>
      <c r="Q21" s="83"/>
      <c r="R21" s="4"/>
      <c r="T21" s="28" t="s">
        <v>34</v>
      </c>
      <c r="U21" s="46" t="s">
        <v>172</v>
      </c>
      <c r="V21" s="46" t="s">
        <v>715</v>
      </c>
      <c r="W21" s="46" t="s">
        <v>31</v>
      </c>
      <c r="X21" s="46" t="s">
        <v>31</v>
      </c>
    </row>
    <row r="22" spans="1:40" ht="14.45" customHeight="1">
      <c r="A22" s="81" t="s">
        <v>716</v>
      </c>
      <c r="B22" s="54" t="s">
        <v>33</v>
      </c>
      <c r="C22" s="54" t="s">
        <v>33</v>
      </c>
      <c r="D22" s="54" t="s">
        <v>33</v>
      </c>
      <c r="E22" s="54" t="s">
        <v>33</v>
      </c>
      <c r="F22" s="54" t="s">
        <v>33</v>
      </c>
      <c r="G22" s="54" t="s">
        <v>33</v>
      </c>
      <c r="H22" s="54" t="s">
        <v>33</v>
      </c>
      <c r="I22" s="54" t="s">
        <v>33</v>
      </c>
      <c r="J22" s="81" t="s">
        <v>25</v>
      </c>
      <c r="K22" s="54" t="s">
        <v>33</v>
      </c>
      <c r="L22" s="54" t="s">
        <v>33</v>
      </c>
      <c r="M22" s="54" t="s">
        <v>33</v>
      </c>
      <c r="N22" s="54" t="s">
        <v>33</v>
      </c>
      <c r="O22" s="11" t="s">
        <v>33</v>
      </c>
      <c r="P22" s="82">
        <f>COUNTIF(B22:O22,"✔")</f>
        <v>1</v>
      </c>
      <c r="Q22" s="83">
        <f>P22/14</f>
        <v>7.1428571428571425E-2</v>
      </c>
      <c r="R22" s="4" t="s">
        <v>26</v>
      </c>
      <c r="S22" t="s">
        <v>713</v>
      </c>
      <c r="T22" s="48" t="s">
        <v>34</v>
      </c>
      <c r="U22" s="48" t="s">
        <v>172</v>
      </c>
      <c r="V22" s="48" t="s">
        <v>714</v>
      </c>
      <c r="W22" s="48" t="s">
        <v>717</v>
      </c>
      <c r="X22" s="48" t="s">
        <v>718</v>
      </c>
      <c r="Y22" t="s">
        <v>1193</v>
      </c>
      <c r="AD22" t="s">
        <v>883</v>
      </c>
      <c r="AG22" t="s">
        <v>910</v>
      </c>
      <c r="AM22" t="s">
        <v>881</v>
      </c>
    </row>
    <row r="23" spans="1:40" ht="14.45" customHeight="1">
      <c r="A23" s="81"/>
      <c r="B23" s="54"/>
      <c r="C23" s="54"/>
      <c r="D23" s="54"/>
      <c r="E23" s="54"/>
      <c r="F23" s="54"/>
      <c r="G23" s="54"/>
      <c r="H23" s="54"/>
      <c r="I23" s="54"/>
      <c r="J23" s="81"/>
      <c r="K23" s="54"/>
      <c r="L23" s="54"/>
      <c r="M23" s="54"/>
      <c r="N23" s="54"/>
      <c r="O23" s="54"/>
      <c r="P23" s="82"/>
      <c r="Q23" s="83"/>
      <c r="R23" s="4"/>
      <c r="T23" s="48" t="s">
        <v>34</v>
      </c>
      <c r="U23" s="48" t="s">
        <v>172</v>
      </c>
      <c r="V23" s="48" t="s">
        <v>714</v>
      </c>
      <c r="W23" s="48" t="s">
        <v>719</v>
      </c>
      <c r="X23" s="48" t="s">
        <v>192</v>
      </c>
    </row>
    <row r="24" spans="1:40" ht="14.45" customHeight="1">
      <c r="A24" s="81" t="s">
        <v>720</v>
      </c>
      <c r="B24" s="54" t="s">
        <v>33</v>
      </c>
      <c r="C24" s="81" t="s">
        <v>25</v>
      </c>
      <c r="D24" s="54" t="s">
        <v>33</v>
      </c>
      <c r="E24" s="54" t="s">
        <v>33</v>
      </c>
      <c r="F24" s="54" t="s">
        <v>33</v>
      </c>
      <c r="G24" s="81" t="s">
        <v>25</v>
      </c>
      <c r="H24" s="54" t="s">
        <v>33</v>
      </c>
      <c r="I24" s="54" t="s">
        <v>33</v>
      </c>
      <c r="J24" s="54" t="s">
        <v>33</v>
      </c>
      <c r="K24" s="54" t="s">
        <v>33</v>
      </c>
      <c r="L24" s="54" t="s">
        <v>33</v>
      </c>
      <c r="M24" s="54" t="s">
        <v>33</v>
      </c>
      <c r="N24" s="54" t="s">
        <v>33</v>
      </c>
      <c r="O24" s="11" t="s">
        <v>33</v>
      </c>
      <c r="P24" s="82">
        <f>COUNTIF(B24:O24,"✔")</f>
        <v>2</v>
      </c>
      <c r="Q24" s="83">
        <f>P24/14</f>
        <v>0.14285714285714285</v>
      </c>
      <c r="R24" s="4" t="s">
        <v>26</v>
      </c>
      <c r="S24" t="s">
        <v>713</v>
      </c>
      <c r="T24" s="48" t="s">
        <v>34</v>
      </c>
      <c r="U24" s="48" t="s">
        <v>172</v>
      </c>
      <c r="V24" s="48" t="s">
        <v>715</v>
      </c>
      <c r="W24" s="48" t="s">
        <v>358</v>
      </c>
      <c r="X24" s="48" t="s">
        <v>359</v>
      </c>
      <c r="Y24" t="s">
        <v>1194</v>
      </c>
      <c r="AD24" t="s">
        <v>883</v>
      </c>
      <c r="AG24" t="s">
        <v>910</v>
      </c>
      <c r="AM24" t="s">
        <v>881</v>
      </c>
    </row>
    <row r="25" spans="1:40" ht="14.45" customHeight="1">
      <c r="A25" s="81" t="s">
        <v>721</v>
      </c>
      <c r="B25" s="54" t="s">
        <v>33</v>
      </c>
      <c r="C25" s="54" t="s">
        <v>33</v>
      </c>
      <c r="D25" s="54" t="s">
        <v>33</v>
      </c>
      <c r="E25" s="54" t="s">
        <v>33</v>
      </c>
      <c r="F25" s="54" t="s">
        <v>33</v>
      </c>
      <c r="G25" s="81" t="s">
        <v>25</v>
      </c>
      <c r="H25" s="54" t="s">
        <v>33</v>
      </c>
      <c r="I25" s="54" t="s">
        <v>33</v>
      </c>
      <c r="J25" s="54" t="s">
        <v>33</v>
      </c>
      <c r="K25" s="54" t="s">
        <v>33</v>
      </c>
      <c r="L25" s="54" t="s">
        <v>33</v>
      </c>
      <c r="M25" s="54" t="s">
        <v>33</v>
      </c>
      <c r="N25" s="54" t="s">
        <v>33</v>
      </c>
      <c r="O25" s="11" t="s">
        <v>33</v>
      </c>
      <c r="P25" s="82">
        <f>COUNTIF(B25:O25,"✔")</f>
        <v>1</v>
      </c>
      <c r="Q25" s="83">
        <f>P25/14</f>
        <v>7.1428571428571425E-2</v>
      </c>
      <c r="R25" s="4" t="s">
        <v>26</v>
      </c>
      <c r="S25" t="s">
        <v>713</v>
      </c>
      <c r="T25" s="48" t="s">
        <v>34</v>
      </c>
      <c r="U25" s="48" t="s">
        <v>172</v>
      </c>
      <c r="V25" s="48" t="s">
        <v>715</v>
      </c>
      <c r="W25" s="48" t="s">
        <v>358</v>
      </c>
      <c r="X25" s="48" t="s">
        <v>359</v>
      </c>
      <c r="Y25" t="s">
        <v>1195</v>
      </c>
      <c r="AD25" t="s">
        <v>883</v>
      </c>
      <c r="AG25" t="s">
        <v>910</v>
      </c>
      <c r="AM25" t="s">
        <v>881</v>
      </c>
    </row>
    <row r="26" spans="1:40" ht="14.45" customHeight="1">
      <c r="A26" s="81" t="s">
        <v>722</v>
      </c>
      <c r="B26" s="54" t="s">
        <v>33</v>
      </c>
      <c r="C26" s="54" t="s">
        <v>33</v>
      </c>
      <c r="D26" s="54" t="s">
        <v>33</v>
      </c>
      <c r="E26" s="54" t="s">
        <v>33</v>
      </c>
      <c r="F26" s="54" t="s">
        <v>33</v>
      </c>
      <c r="G26" s="81" t="s">
        <v>25</v>
      </c>
      <c r="H26" s="54" t="s">
        <v>33</v>
      </c>
      <c r="I26" s="54" t="s">
        <v>33</v>
      </c>
      <c r="J26" s="54" t="s">
        <v>33</v>
      </c>
      <c r="K26" s="54" t="s">
        <v>33</v>
      </c>
      <c r="L26" s="54" t="s">
        <v>33</v>
      </c>
      <c r="M26" s="54" t="s">
        <v>33</v>
      </c>
      <c r="N26" s="54" t="s">
        <v>33</v>
      </c>
      <c r="O26" s="11" t="s">
        <v>33</v>
      </c>
      <c r="P26" s="82">
        <f>COUNTIF(B26:O26,"✔")</f>
        <v>1</v>
      </c>
      <c r="Q26" s="83">
        <f>P26/14</f>
        <v>7.1428571428571425E-2</v>
      </c>
      <c r="R26" s="4" t="s">
        <v>26</v>
      </c>
      <c r="S26" t="s">
        <v>713</v>
      </c>
      <c r="T26" s="48" t="s">
        <v>34</v>
      </c>
      <c r="U26" s="48" t="s">
        <v>29</v>
      </c>
      <c r="V26" s="48" t="s">
        <v>335</v>
      </c>
      <c r="W26" s="48" t="s">
        <v>85</v>
      </c>
      <c r="X26" s="48" t="s">
        <v>336</v>
      </c>
      <c r="Y26" t="s">
        <v>1196</v>
      </c>
      <c r="AD26" t="s">
        <v>883</v>
      </c>
      <c r="AG26" t="s">
        <v>910</v>
      </c>
      <c r="AM26" t="s">
        <v>881</v>
      </c>
    </row>
    <row r="27" spans="1:40" ht="14.45" customHeight="1">
      <c r="A27" s="81" t="s">
        <v>723</v>
      </c>
      <c r="B27" s="54" t="s">
        <v>33</v>
      </c>
      <c r="C27" s="81" t="s">
        <v>25</v>
      </c>
      <c r="D27" s="54" t="s">
        <v>33</v>
      </c>
      <c r="E27" s="54" t="s">
        <v>33</v>
      </c>
      <c r="F27" s="54" t="s">
        <v>33</v>
      </c>
      <c r="G27" s="54" t="s">
        <v>33</v>
      </c>
      <c r="H27" s="54" t="s">
        <v>33</v>
      </c>
      <c r="I27" s="54" t="s">
        <v>33</v>
      </c>
      <c r="J27" s="54" t="s">
        <v>33</v>
      </c>
      <c r="K27" s="54" t="s">
        <v>33</v>
      </c>
      <c r="L27" s="54" t="s">
        <v>33</v>
      </c>
      <c r="M27" s="54" t="s">
        <v>33</v>
      </c>
      <c r="N27" s="54" t="s">
        <v>33</v>
      </c>
      <c r="O27" s="11" t="s">
        <v>33</v>
      </c>
      <c r="P27" s="82">
        <f>COUNTIF(B27:O27,"✔")</f>
        <v>1</v>
      </c>
      <c r="Q27" s="83">
        <f>P27/14</f>
        <v>7.1428571428571425E-2</v>
      </c>
      <c r="R27" s="4" t="s">
        <v>26</v>
      </c>
      <c r="S27" t="s">
        <v>370</v>
      </c>
      <c r="T27" s="48" t="s">
        <v>34</v>
      </c>
      <c r="U27" s="48" t="s">
        <v>29</v>
      </c>
      <c r="V27" s="48" t="s">
        <v>35</v>
      </c>
      <c r="W27" s="48" t="s">
        <v>142</v>
      </c>
      <c r="X27" s="48" t="s">
        <v>143</v>
      </c>
      <c r="Y27" t="s">
        <v>1197</v>
      </c>
      <c r="AD27" t="s">
        <v>879</v>
      </c>
      <c r="AG27" t="s">
        <v>884</v>
      </c>
      <c r="AM27" t="s">
        <v>916</v>
      </c>
      <c r="AN27" t="s">
        <v>142</v>
      </c>
    </row>
    <row r="28" spans="1:40" ht="14.45" customHeight="1">
      <c r="A28" s="57" t="s">
        <v>724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84"/>
      <c r="Q28" s="85"/>
      <c r="R28" s="65"/>
      <c r="S28" s="66"/>
      <c r="T28" s="58"/>
      <c r="U28" s="58"/>
      <c r="V28" s="58"/>
      <c r="W28" s="58"/>
      <c r="X28" s="58"/>
    </row>
    <row r="29" spans="1:40" ht="14.45" customHeight="1">
      <c r="A29" s="81" t="s">
        <v>725</v>
      </c>
      <c r="B29" s="54" t="s">
        <v>33</v>
      </c>
      <c r="C29" s="54" t="s">
        <v>33</v>
      </c>
      <c r="D29" s="54" t="s">
        <v>33</v>
      </c>
      <c r="E29" s="54" t="s">
        <v>33</v>
      </c>
      <c r="F29" s="54" t="s">
        <v>33</v>
      </c>
      <c r="G29" s="81" t="s">
        <v>25</v>
      </c>
      <c r="H29" s="54" t="s">
        <v>33</v>
      </c>
      <c r="I29" s="54" t="s">
        <v>33</v>
      </c>
      <c r="J29" s="54" t="s">
        <v>33</v>
      </c>
      <c r="K29" s="54" t="s">
        <v>33</v>
      </c>
      <c r="L29" s="54" t="s">
        <v>33</v>
      </c>
      <c r="M29" s="54" t="s">
        <v>33</v>
      </c>
      <c r="N29" s="54" t="s">
        <v>33</v>
      </c>
      <c r="O29" s="11" t="s">
        <v>33</v>
      </c>
      <c r="P29" s="82">
        <f>COUNTIF(B29:O29,"✔")</f>
        <v>1</v>
      </c>
      <c r="Q29" s="83">
        <f>P29/14</f>
        <v>7.1428571428571425E-2</v>
      </c>
      <c r="R29" s="4" t="s">
        <v>26</v>
      </c>
      <c r="S29" t="s">
        <v>370</v>
      </c>
      <c r="T29" s="48" t="s">
        <v>34</v>
      </c>
      <c r="U29" s="48" t="s">
        <v>29</v>
      </c>
      <c r="V29" s="48" t="s">
        <v>726</v>
      </c>
      <c r="W29" s="48" t="s">
        <v>727</v>
      </c>
      <c r="X29" s="48" t="s">
        <v>728</v>
      </c>
      <c r="Y29" t="s">
        <v>1198</v>
      </c>
      <c r="AD29" t="s">
        <v>883</v>
      </c>
      <c r="AG29" t="s">
        <v>918</v>
      </c>
      <c r="AM29" t="s">
        <v>881</v>
      </c>
    </row>
    <row r="30" spans="1:40" ht="14.45" customHeight="1">
      <c r="A30" s="81" t="s">
        <v>729</v>
      </c>
      <c r="B30" s="81" t="s">
        <v>25</v>
      </c>
      <c r="C30" s="54" t="s">
        <v>33</v>
      </c>
      <c r="D30" s="81" t="s">
        <v>25</v>
      </c>
      <c r="E30" s="54" t="s">
        <v>33</v>
      </c>
      <c r="F30" s="54" t="s">
        <v>33</v>
      </c>
      <c r="G30" s="81" t="s">
        <v>25</v>
      </c>
      <c r="H30" s="54" t="s">
        <v>33</v>
      </c>
      <c r="I30" s="81" t="s">
        <v>25</v>
      </c>
      <c r="J30" s="54" t="s">
        <v>33</v>
      </c>
      <c r="K30" s="54" t="s">
        <v>33</v>
      </c>
      <c r="L30" s="54" t="s">
        <v>33</v>
      </c>
      <c r="M30" s="54" t="s">
        <v>33</v>
      </c>
      <c r="N30" s="54" t="s">
        <v>33</v>
      </c>
      <c r="O30" s="11" t="s">
        <v>33</v>
      </c>
      <c r="P30" s="82">
        <f>COUNTIF(B30:O30,"✔")</f>
        <v>4</v>
      </c>
      <c r="Q30" s="83">
        <f>P30/14</f>
        <v>0.2857142857142857</v>
      </c>
      <c r="R30" s="4" t="s">
        <v>26</v>
      </c>
      <c r="S30" t="s">
        <v>370</v>
      </c>
      <c r="T30" s="48" t="s">
        <v>34</v>
      </c>
      <c r="U30" s="48" t="s">
        <v>29</v>
      </c>
      <c r="V30" s="48" t="s">
        <v>35</v>
      </c>
      <c r="W30" s="48" t="s">
        <v>142</v>
      </c>
      <c r="X30" s="48" t="s">
        <v>143</v>
      </c>
      <c r="Y30" t="s">
        <v>1199</v>
      </c>
      <c r="AD30" t="s">
        <v>879</v>
      </c>
      <c r="AG30" t="s">
        <v>884</v>
      </c>
      <c r="AM30" t="s">
        <v>916</v>
      </c>
      <c r="AN30" t="s">
        <v>142</v>
      </c>
    </row>
    <row r="31" spans="1:40" ht="14.45" customHeight="1">
      <c r="A31" s="81" t="s">
        <v>730</v>
      </c>
      <c r="B31" s="54" t="s">
        <v>33</v>
      </c>
      <c r="C31" s="54" t="s">
        <v>33</v>
      </c>
      <c r="D31" s="54" t="s">
        <v>33</v>
      </c>
      <c r="E31" s="54" t="s">
        <v>33</v>
      </c>
      <c r="F31" s="54" t="s">
        <v>33</v>
      </c>
      <c r="G31" s="54" t="s">
        <v>33</v>
      </c>
      <c r="H31" s="54" t="s">
        <v>33</v>
      </c>
      <c r="I31" s="81" t="s">
        <v>25</v>
      </c>
      <c r="J31" s="54" t="s">
        <v>33</v>
      </c>
      <c r="K31" s="54" t="s">
        <v>33</v>
      </c>
      <c r="L31" s="54" t="s">
        <v>33</v>
      </c>
      <c r="M31" s="54" t="s">
        <v>33</v>
      </c>
      <c r="N31" s="54" t="s">
        <v>33</v>
      </c>
      <c r="O31" s="11" t="s">
        <v>33</v>
      </c>
      <c r="P31" s="82">
        <f>COUNTIF(B31:O31,"✔")</f>
        <v>1</v>
      </c>
      <c r="Q31" s="83">
        <f>P31/14</f>
        <v>7.1428571428571425E-2</v>
      </c>
      <c r="R31" s="4" t="s">
        <v>65</v>
      </c>
      <c r="S31" t="s">
        <v>731</v>
      </c>
      <c r="T31" s="48" t="s">
        <v>34</v>
      </c>
      <c r="U31" s="48" t="s">
        <v>29</v>
      </c>
      <c r="V31" s="48" t="s">
        <v>35</v>
      </c>
      <c r="W31" s="48" t="s">
        <v>142</v>
      </c>
      <c r="X31" s="48" t="s">
        <v>143</v>
      </c>
      <c r="Y31" t="s">
        <v>1200</v>
      </c>
      <c r="AA31" t="s">
        <v>895</v>
      </c>
      <c r="AD31" t="s">
        <v>879</v>
      </c>
      <c r="AG31" t="s">
        <v>884</v>
      </c>
      <c r="AM31" t="s">
        <v>916</v>
      </c>
      <c r="AN31" t="s">
        <v>142</v>
      </c>
    </row>
  </sheetData>
  <dataValidations count="7">
    <dataValidation type="list" allowBlank="1" showInputMessage="1" sqref="AA2:AA31" xr:uid="{E53A02CC-80EF-4C82-89B2-CE6ECFCA6AE5}">
      <mc:AlternateContent xmlns:x12ac="http://schemas.microsoft.com/office/spreadsheetml/2011/1/ac" xmlns:mc="http://schemas.openxmlformats.org/markup-compatibility/2006">
        <mc:Choice Requires="x12ac">
          <x12ac:list>"Mandatory,Optional,Out of scope,N/A"</x12ac:list>
        </mc:Choice>
        <mc:Fallback>
          <formula1>"Mandatory,Optional,Out of scope,N/A"</formula1>
        </mc:Fallback>
      </mc:AlternateContent>
    </dataValidation>
    <dataValidation type="list" allowBlank="1" showInputMessage="1" sqref="AD2:AD31" xr:uid="{A98BF63C-CB25-4BFA-95E7-EE40A18A042C}">
      <mc:AlternateContent xmlns:x12ac="http://schemas.microsoft.com/office/spreadsheetml/2011/1/ac" xmlns:mc="http://schemas.openxmlformats.org/markup-compatibility/2006">
        <mc:Choice Requires="x12ac">
          <x12ac:list>"numeric,categorical,boolean,date,text,document,geometry,time series,reference,composite"</x12ac:list>
        </mc:Choice>
        <mc:Fallback>
          <formula1>"numeric,categorical,boolean,date,text,document,geometry,time series,reference,composite"</formula1>
        </mc:Fallback>
      </mc:AlternateContent>
    </dataValidation>
    <dataValidation type="list" allowBlank="1" showInputMessage="1" sqref="AG2:AG31" xr:uid="{D41C27C7-570E-42E8-AAE8-238B0B1A2618}">
      <mc:AlternateContent xmlns:x12ac="http://schemas.microsoft.com/office/spreadsheetml/2011/1/ac" xmlns:mc="http://schemas.openxmlformats.org/markup-compatibility/2006">
        <mc:Choice Requires="x12ac">
          <x12ac:list>"building,unit,zone,component,site / context,any level"</x12ac:list>
        </mc:Choice>
        <mc:Fallback>
          <formula1>"building,unit,zone,component,site / context,any level"</formula1>
        </mc:Fallback>
      </mc:AlternateContent>
    </dataValidation>
    <dataValidation type="list" allowBlank="1" showInputMessage="1" sqref="AH2:AH31" xr:uid="{7773BE20-55A3-4D62-BD66-88A432DDF59D}">
      <mc:AlternateContent xmlns:x12ac="http://schemas.microsoft.com/office/spreadsheetml/2011/1/ac" xmlns:mc="http://schemas.openxmlformats.org/markup-compatibility/2006">
        <mc:Choice Requires="x12ac">
          <x12ac:list>"static,historical,periodic,real-time"</x12ac:list>
        </mc:Choice>
        <mc:Fallback>
          <formula1>"static,historical,periodic,real-time"</formula1>
        </mc:Fallback>
      </mc:AlternateContent>
    </dataValidation>
    <dataValidation type="list" allowBlank="1" showInputMessage="1" sqref="AI2:AI31" xr:uid="{C6BA74F7-352A-42A3-B982-4F70133FF0F7}">
      <mc:AlternateContent xmlns:x12ac="http://schemas.microsoft.com/office/spreadsheetml/2011/1/ac" xmlns:mc="http://schemas.openxmlformats.org/markup-compatibility/2006">
        <mc:Choice Requires="x12ac">
          <x12ac:list>"Public,Restricted,Personal data (GDPR),Commercially sensitive"</x12ac:list>
        </mc:Choice>
        <mc:Fallback>
          <formula1>"Public,Restricted,Personal data (GDPR),Commercially sensitive"</formula1>
        </mc:Fallback>
      </mc:AlternateContent>
    </dataValidation>
    <dataValidation type="list" allowBlank="1" showInputMessage="1" sqref="AL2:AL31" xr:uid="{4A26D40B-4EF9-4F55-B5E3-B006EECB5B07}">
      <mc:AlternateContent xmlns:x12ac="http://schemas.microsoft.com/office/spreadsheetml/2011/1/ac" xmlns:mc="http://schemas.openxmlformats.org/markup-compatibility/2006">
        <mc:Choice Requires="x12ac">
          <x12ac:list>"open data,API,manual input,inspection,derived"</x12ac:list>
        </mc:Choice>
        <mc:Fallback>
          <formula1>"open data,API,manual input,inspection,derived"</formula1>
        </mc:Fallback>
      </mc:AlternateContent>
    </dataValidation>
    <dataValidation type="list" allowBlank="1" showInputMessage="1" sqref="AM2:AM31" xr:uid="{9C69536F-38A2-4C92-AA77-BBE6E29E3ACA}">
      <mc:AlternateContent xmlns:x12ac="http://schemas.microsoft.com/office/spreadsheetml/2011/1/ac" xmlns:mc="http://schemas.openxmlformats.org/markup-compatibility/2006">
        <mc:Choice Requires="x12ac">
          <x12ac:list>"Native,Workaround,Extension needed,Out of scope,N/A"</x12ac:list>
        </mc:Choice>
        <mc:Fallback>
          <formula1>"Native,Workaround,Extension needed,Out of scope,N/A"</formula1>
        </mc:Fallback>
      </mc:AlternateContent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N30"/>
  <sheetViews>
    <sheetView zoomScale="78" zoomScaleNormal="64" workbookViewId="0">
      <pane xSplit="1" topLeftCell="B1" activePane="topRight" state="frozen"/>
      <selection activeCell="Q37" sqref="Q37"/>
      <selection pane="topRight" activeCell="U27" sqref="U27"/>
    </sheetView>
  </sheetViews>
  <sheetFormatPr defaultRowHeight="15" customHeight="1"/>
  <cols>
    <col min="1" max="1" width="50.7109375" customWidth="1"/>
    <col min="2" max="18" width="13.7109375" customWidth="1"/>
    <col min="19" max="22" width="20.7109375" customWidth="1"/>
    <col min="25" max="40" width="16.7109375" customWidth="1"/>
  </cols>
  <sheetData>
    <row r="1" spans="1:40" ht="75" customHeight="1">
      <c r="A1" s="76" t="s">
        <v>860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67" t="s">
        <v>17</v>
      </c>
      <c r="S1" s="67" t="s">
        <v>18</v>
      </c>
      <c r="T1" s="78" t="s">
        <v>19</v>
      </c>
      <c r="U1" s="78" t="s">
        <v>20</v>
      </c>
      <c r="V1" s="77" t="s">
        <v>21</v>
      </c>
      <c r="W1" s="77" t="s">
        <v>22</v>
      </c>
      <c r="X1" s="77" t="s">
        <v>23</v>
      </c>
      <c r="Y1" s="77" t="s">
        <v>862</v>
      </c>
      <c r="Z1" s="77" t="s">
        <v>863</v>
      </c>
      <c r="AA1" s="77" t="s">
        <v>864</v>
      </c>
      <c r="AB1" s="77" t="s">
        <v>865</v>
      </c>
      <c r="AC1" s="77" t="s">
        <v>866</v>
      </c>
      <c r="AD1" s="77" t="s">
        <v>867</v>
      </c>
      <c r="AE1" s="77" t="s">
        <v>868</v>
      </c>
      <c r="AF1" s="77" t="s">
        <v>869</v>
      </c>
      <c r="AG1" s="77" t="s">
        <v>870</v>
      </c>
      <c r="AH1" s="77" t="s">
        <v>871</v>
      </c>
      <c r="AI1" s="77" t="s">
        <v>872</v>
      </c>
      <c r="AJ1" s="77" t="s">
        <v>873</v>
      </c>
      <c r="AK1" s="77" t="s">
        <v>874</v>
      </c>
      <c r="AL1" s="77" t="s">
        <v>875</v>
      </c>
      <c r="AM1" s="77" t="s">
        <v>876</v>
      </c>
      <c r="AN1" s="77" t="s">
        <v>877</v>
      </c>
    </row>
    <row r="2" spans="1:40" ht="14.45" customHeight="1">
      <c r="A2" s="57" t="s">
        <v>732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84"/>
      <c r="Q2" s="85"/>
      <c r="R2" s="65"/>
      <c r="S2" s="66"/>
      <c r="T2" s="58"/>
      <c r="U2" s="58"/>
      <c r="V2" s="58"/>
      <c r="W2" s="58"/>
      <c r="X2" s="58"/>
    </row>
    <row r="3" spans="1:40" ht="14.45" customHeight="1">
      <c r="A3" s="81" t="s">
        <v>733</v>
      </c>
      <c r="B3" s="54" t="s">
        <v>33</v>
      </c>
      <c r="C3" s="54" t="s">
        <v>33</v>
      </c>
      <c r="D3" s="54" t="s">
        <v>33</v>
      </c>
      <c r="E3" s="54" t="s">
        <v>33</v>
      </c>
      <c r="F3" s="54" t="s">
        <v>33</v>
      </c>
      <c r="G3" s="54" t="s">
        <v>33</v>
      </c>
      <c r="H3" s="54" t="s">
        <v>33</v>
      </c>
      <c r="I3" s="54" t="s">
        <v>33</v>
      </c>
      <c r="J3" s="54" t="s">
        <v>33</v>
      </c>
      <c r="K3" s="81" t="s">
        <v>25</v>
      </c>
      <c r="L3" s="54" t="s">
        <v>33</v>
      </c>
      <c r="M3" s="54" t="s">
        <v>33</v>
      </c>
      <c r="N3" s="54" t="s">
        <v>33</v>
      </c>
      <c r="O3" s="11" t="s">
        <v>33</v>
      </c>
      <c r="P3" s="82">
        <f t="shared" ref="P3:P11" si="0">COUNTIF(B3:O3,"✔")</f>
        <v>1</v>
      </c>
      <c r="Q3" s="83">
        <f t="shared" ref="Q3:Q11" si="1">P3/14</f>
        <v>7.1428571428571425E-2</v>
      </c>
      <c r="R3" s="4" t="s">
        <v>26</v>
      </c>
      <c r="S3" t="s">
        <v>370</v>
      </c>
      <c r="T3" s="48" t="s">
        <v>34</v>
      </c>
      <c r="U3" s="48" t="s">
        <v>29</v>
      </c>
      <c r="V3" s="48" t="s">
        <v>35</v>
      </c>
      <c r="W3" s="48" t="s">
        <v>142</v>
      </c>
      <c r="X3" s="48" t="s">
        <v>143</v>
      </c>
      <c r="Y3" t="s">
        <v>1201</v>
      </c>
      <c r="AD3" t="s">
        <v>879</v>
      </c>
      <c r="AG3" t="s">
        <v>884</v>
      </c>
      <c r="AM3" t="s">
        <v>916</v>
      </c>
      <c r="AN3" t="s">
        <v>142</v>
      </c>
    </row>
    <row r="4" spans="1:40" ht="14.45" customHeight="1">
      <c r="A4" s="81" t="s">
        <v>734</v>
      </c>
      <c r="B4" s="54" t="s">
        <v>33</v>
      </c>
      <c r="C4" s="81" t="s">
        <v>25</v>
      </c>
      <c r="D4" s="54" t="s">
        <v>33</v>
      </c>
      <c r="E4" s="54" t="s">
        <v>33</v>
      </c>
      <c r="F4" s="54" t="s">
        <v>33</v>
      </c>
      <c r="G4" s="54" t="s">
        <v>33</v>
      </c>
      <c r="H4" s="54" t="s">
        <v>33</v>
      </c>
      <c r="I4" s="54" t="s">
        <v>33</v>
      </c>
      <c r="J4" s="54" t="s">
        <v>33</v>
      </c>
      <c r="K4" s="54" t="s">
        <v>33</v>
      </c>
      <c r="L4" s="54" t="s">
        <v>33</v>
      </c>
      <c r="M4" s="54" t="s">
        <v>33</v>
      </c>
      <c r="N4" s="54" t="s">
        <v>33</v>
      </c>
      <c r="O4" s="11" t="s">
        <v>33</v>
      </c>
      <c r="P4" s="82">
        <f t="shared" si="0"/>
        <v>1</v>
      </c>
      <c r="Q4" s="83">
        <f t="shared" si="1"/>
        <v>7.1428571428571425E-2</v>
      </c>
      <c r="R4" s="4" t="s">
        <v>26</v>
      </c>
      <c r="S4" t="s">
        <v>370</v>
      </c>
      <c r="T4" s="48" t="s">
        <v>34</v>
      </c>
      <c r="U4" s="48" t="s">
        <v>29</v>
      </c>
      <c r="V4" s="48" t="s">
        <v>335</v>
      </c>
      <c r="W4" s="48" t="s">
        <v>85</v>
      </c>
      <c r="X4" s="48" t="s">
        <v>336</v>
      </c>
      <c r="Y4" t="s">
        <v>1202</v>
      </c>
      <c r="AD4" t="s">
        <v>883</v>
      </c>
      <c r="AG4" t="s">
        <v>910</v>
      </c>
      <c r="AM4" t="s">
        <v>881</v>
      </c>
    </row>
    <row r="5" spans="1:40" ht="14.45" customHeight="1">
      <c r="A5" s="81" t="s">
        <v>735</v>
      </c>
      <c r="B5" s="54" t="s">
        <v>33</v>
      </c>
      <c r="C5" s="81" t="s">
        <v>25</v>
      </c>
      <c r="D5" s="54" t="s">
        <v>33</v>
      </c>
      <c r="E5" s="54" t="s">
        <v>33</v>
      </c>
      <c r="F5" s="54" t="s">
        <v>33</v>
      </c>
      <c r="G5" s="54" t="s">
        <v>33</v>
      </c>
      <c r="H5" s="54" t="s">
        <v>33</v>
      </c>
      <c r="I5" s="54" t="s">
        <v>33</v>
      </c>
      <c r="J5" s="54" t="s">
        <v>33</v>
      </c>
      <c r="K5" s="81" t="s">
        <v>25</v>
      </c>
      <c r="L5" s="54" t="s">
        <v>33</v>
      </c>
      <c r="M5" s="54" t="s">
        <v>33</v>
      </c>
      <c r="N5" s="54" t="s">
        <v>33</v>
      </c>
      <c r="O5" s="11" t="s">
        <v>33</v>
      </c>
      <c r="P5" s="82">
        <f t="shared" si="0"/>
        <v>2</v>
      </c>
      <c r="Q5" s="83">
        <f t="shared" si="1"/>
        <v>0.14285714285714285</v>
      </c>
      <c r="R5" s="4" t="s">
        <v>26</v>
      </c>
      <c r="S5" t="s">
        <v>370</v>
      </c>
      <c r="T5" s="48" t="s">
        <v>34</v>
      </c>
      <c r="U5" s="48" t="s">
        <v>29</v>
      </c>
      <c r="V5" s="48" t="s">
        <v>335</v>
      </c>
      <c r="W5" s="48" t="s">
        <v>85</v>
      </c>
      <c r="X5" s="48" t="s">
        <v>336</v>
      </c>
      <c r="Y5" t="s">
        <v>1203</v>
      </c>
      <c r="AD5" t="s">
        <v>883</v>
      </c>
      <c r="AG5" t="s">
        <v>910</v>
      </c>
      <c r="AM5" t="s">
        <v>881</v>
      </c>
    </row>
    <row r="6" spans="1:40" ht="14.45" customHeight="1">
      <c r="A6" s="81" t="s">
        <v>736</v>
      </c>
      <c r="B6" s="54" t="s">
        <v>33</v>
      </c>
      <c r="C6" s="81" t="s">
        <v>25</v>
      </c>
      <c r="D6" s="54" t="s">
        <v>33</v>
      </c>
      <c r="E6" s="54" t="s">
        <v>33</v>
      </c>
      <c r="F6" s="54" t="s">
        <v>33</v>
      </c>
      <c r="G6" s="54" t="s">
        <v>33</v>
      </c>
      <c r="H6" s="54" t="s">
        <v>33</v>
      </c>
      <c r="I6" s="54" t="s">
        <v>33</v>
      </c>
      <c r="J6" s="54" t="s">
        <v>33</v>
      </c>
      <c r="K6" s="54" t="s">
        <v>33</v>
      </c>
      <c r="L6" s="54" t="s">
        <v>33</v>
      </c>
      <c r="M6" s="54" t="s">
        <v>33</v>
      </c>
      <c r="N6" s="54" t="s">
        <v>33</v>
      </c>
      <c r="O6" s="11" t="s">
        <v>33</v>
      </c>
      <c r="P6" s="82">
        <f t="shared" si="0"/>
        <v>1</v>
      </c>
      <c r="Q6" s="83">
        <f t="shared" si="1"/>
        <v>7.1428571428571425E-2</v>
      </c>
      <c r="R6" s="4" t="s">
        <v>26</v>
      </c>
      <c r="S6" t="s">
        <v>370</v>
      </c>
      <c r="T6" s="48" t="s">
        <v>34</v>
      </c>
      <c r="U6" s="48" t="s">
        <v>29</v>
      </c>
      <c r="V6" s="48" t="s">
        <v>35</v>
      </c>
      <c r="W6" s="48" t="s">
        <v>142</v>
      </c>
      <c r="X6" s="48" t="s">
        <v>143</v>
      </c>
      <c r="Y6" t="s">
        <v>1204</v>
      </c>
      <c r="AD6" t="s">
        <v>879</v>
      </c>
      <c r="AG6" t="s">
        <v>884</v>
      </c>
      <c r="AM6" t="s">
        <v>916</v>
      </c>
      <c r="AN6" t="s">
        <v>142</v>
      </c>
    </row>
    <row r="7" spans="1:40" ht="14.45" customHeight="1">
      <c r="A7" s="81" t="s">
        <v>737</v>
      </c>
      <c r="B7" s="54" t="s">
        <v>33</v>
      </c>
      <c r="C7" s="81" t="s">
        <v>25</v>
      </c>
      <c r="D7" s="81" t="s">
        <v>25</v>
      </c>
      <c r="E7" s="54" t="s">
        <v>33</v>
      </c>
      <c r="F7" s="54" t="s">
        <v>33</v>
      </c>
      <c r="G7" s="54" t="s">
        <v>33</v>
      </c>
      <c r="H7" s="54" t="s">
        <v>33</v>
      </c>
      <c r="I7" s="54" t="s">
        <v>33</v>
      </c>
      <c r="J7" s="54" t="s">
        <v>33</v>
      </c>
      <c r="K7" s="54" t="s">
        <v>33</v>
      </c>
      <c r="L7" s="54" t="s">
        <v>33</v>
      </c>
      <c r="M7" s="54" t="s">
        <v>33</v>
      </c>
      <c r="N7" s="54" t="s">
        <v>33</v>
      </c>
      <c r="O7" s="11" t="s">
        <v>33</v>
      </c>
      <c r="P7" s="82">
        <f t="shared" si="0"/>
        <v>2</v>
      </c>
      <c r="Q7" s="83">
        <f t="shared" si="1"/>
        <v>0.14285714285714285</v>
      </c>
      <c r="R7" s="4" t="s">
        <v>26</v>
      </c>
      <c r="S7" t="s">
        <v>370</v>
      </c>
      <c r="T7" s="48" t="s">
        <v>34</v>
      </c>
      <c r="U7" s="48" t="s">
        <v>172</v>
      </c>
      <c r="V7" s="48" t="s">
        <v>338</v>
      </c>
      <c r="W7" s="48" t="s">
        <v>738</v>
      </c>
      <c r="X7" s="48" t="s">
        <v>192</v>
      </c>
      <c r="Y7" t="s">
        <v>1205</v>
      </c>
      <c r="AD7" t="s">
        <v>899</v>
      </c>
      <c r="AG7" t="s">
        <v>910</v>
      </c>
      <c r="AM7" t="s">
        <v>881</v>
      </c>
    </row>
    <row r="8" spans="1:40" ht="14.45" customHeight="1">
      <c r="A8" s="81" t="s">
        <v>739</v>
      </c>
      <c r="B8" s="54" t="s">
        <v>33</v>
      </c>
      <c r="C8" s="81" t="s">
        <v>25</v>
      </c>
      <c r="D8" s="81" t="s">
        <v>25</v>
      </c>
      <c r="E8" s="54" t="s">
        <v>33</v>
      </c>
      <c r="F8" s="54" t="s">
        <v>33</v>
      </c>
      <c r="G8" s="54" t="s">
        <v>33</v>
      </c>
      <c r="H8" s="54" t="s">
        <v>33</v>
      </c>
      <c r="I8" s="54" t="s">
        <v>33</v>
      </c>
      <c r="J8" s="54" t="s">
        <v>33</v>
      </c>
      <c r="K8" s="54" t="s">
        <v>33</v>
      </c>
      <c r="L8" s="54" t="s">
        <v>33</v>
      </c>
      <c r="M8" s="54" t="s">
        <v>33</v>
      </c>
      <c r="N8" s="54" t="s">
        <v>33</v>
      </c>
      <c r="O8" s="40" t="s">
        <v>33</v>
      </c>
      <c r="P8" s="82">
        <f t="shared" si="0"/>
        <v>2</v>
      </c>
      <c r="Q8" s="83">
        <f t="shared" si="1"/>
        <v>0.14285714285714285</v>
      </c>
      <c r="R8" s="4" t="s">
        <v>26</v>
      </c>
      <c r="S8" t="s">
        <v>370</v>
      </c>
      <c r="T8" s="48" t="s">
        <v>34</v>
      </c>
      <c r="U8" s="48" t="s">
        <v>172</v>
      </c>
      <c r="V8" s="48" t="s">
        <v>338</v>
      </c>
      <c r="W8" s="48" t="s">
        <v>740</v>
      </c>
      <c r="X8" s="48" t="s">
        <v>192</v>
      </c>
      <c r="Y8" t="s">
        <v>1206</v>
      </c>
      <c r="AD8" t="s">
        <v>899</v>
      </c>
      <c r="AG8" t="s">
        <v>910</v>
      </c>
      <c r="AM8" t="s">
        <v>881</v>
      </c>
    </row>
    <row r="9" spans="1:40" ht="14.45" customHeight="1">
      <c r="A9" s="81" t="s">
        <v>741</v>
      </c>
      <c r="B9" s="54" t="s">
        <v>33</v>
      </c>
      <c r="C9" s="81" t="s">
        <v>25</v>
      </c>
      <c r="D9" s="54" t="s">
        <v>33</v>
      </c>
      <c r="E9" s="54" t="s">
        <v>33</v>
      </c>
      <c r="F9" s="54" t="s">
        <v>33</v>
      </c>
      <c r="G9" s="54" t="s">
        <v>33</v>
      </c>
      <c r="H9" s="54" t="s">
        <v>33</v>
      </c>
      <c r="I9" s="54" t="s">
        <v>33</v>
      </c>
      <c r="J9" s="54" t="s">
        <v>33</v>
      </c>
      <c r="K9" s="54" t="s">
        <v>33</v>
      </c>
      <c r="L9" s="54" t="s">
        <v>33</v>
      </c>
      <c r="M9" s="54" t="s">
        <v>33</v>
      </c>
      <c r="N9" s="54" t="s">
        <v>33</v>
      </c>
      <c r="O9" s="11" t="s">
        <v>33</v>
      </c>
      <c r="P9" s="82">
        <f t="shared" si="0"/>
        <v>1</v>
      </c>
      <c r="Q9" s="83">
        <f t="shared" si="1"/>
        <v>7.1428571428571425E-2</v>
      </c>
      <c r="R9" s="4" t="s">
        <v>26</v>
      </c>
      <c r="S9" t="s">
        <v>370</v>
      </c>
      <c r="T9" s="48" t="s">
        <v>34</v>
      </c>
      <c r="U9" s="48" t="s">
        <v>29</v>
      </c>
      <c r="V9" s="48" t="s">
        <v>335</v>
      </c>
      <c r="W9" s="55" t="s">
        <v>742</v>
      </c>
      <c r="X9" s="48" t="s">
        <v>469</v>
      </c>
      <c r="Y9" t="s">
        <v>1207</v>
      </c>
      <c r="AD9" t="s">
        <v>1012</v>
      </c>
      <c r="AG9" t="s">
        <v>910</v>
      </c>
      <c r="AH9" t="s">
        <v>1013</v>
      </c>
      <c r="AM9" t="s">
        <v>881</v>
      </c>
    </row>
    <row r="10" spans="1:40" ht="14.45" customHeight="1">
      <c r="A10" s="81" t="s">
        <v>743</v>
      </c>
      <c r="B10" s="54" t="s">
        <v>33</v>
      </c>
      <c r="C10" s="81" t="s">
        <v>25</v>
      </c>
      <c r="D10" s="54" t="s">
        <v>33</v>
      </c>
      <c r="E10" s="54" t="s">
        <v>33</v>
      </c>
      <c r="F10" s="54" t="s">
        <v>33</v>
      </c>
      <c r="G10" s="54" t="s">
        <v>33</v>
      </c>
      <c r="H10" s="54" t="s">
        <v>33</v>
      </c>
      <c r="I10" s="54" t="s">
        <v>33</v>
      </c>
      <c r="J10" s="54" t="s">
        <v>33</v>
      </c>
      <c r="K10" s="54" t="s">
        <v>33</v>
      </c>
      <c r="L10" s="54" t="s">
        <v>33</v>
      </c>
      <c r="M10" s="54" t="s">
        <v>33</v>
      </c>
      <c r="N10" s="54" t="s">
        <v>33</v>
      </c>
      <c r="O10" s="11" t="s">
        <v>33</v>
      </c>
      <c r="P10" s="82">
        <f t="shared" si="0"/>
        <v>1</v>
      </c>
      <c r="Q10" s="83">
        <f t="shared" si="1"/>
        <v>7.1428571428571425E-2</v>
      </c>
      <c r="R10" s="4" t="s">
        <v>26</v>
      </c>
      <c r="S10" t="s">
        <v>370</v>
      </c>
      <c r="T10" s="48" t="s">
        <v>34</v>
      </c>
      <c r="U10" s="48" t="s">
        <v>29</v>
      </c>
      <c r="V10" s="48" t="s">
        <v>335</v>
      </c>
      <c r="W10" s="48" t="s">
        <v>85</v>
      </c>
      <c r="X10" s="48" t="s">
        <v>336</v>
      </c>
      <c r="Y10" t="s">
        <v>1208</v>
      </c>
      <c r="AD10" t="s">
        <v>883</v>
      </c>
      <c r="AG10" t="s">
        <v>910</v>
      </c>
      <c r="AM10" t="s">
        <v>881</v>
      </c>
    </row>
    <row r="11" spans="1:40" ht="14.45" customHeight="1">
      <c r="A11" s="81" t="s">
        <v>744</v>
      </c>
      <c r="B11" s="54" t="s">
        <v>33</v>
      </c>
      <c r="C11" s="54" t="s">
        <v>33</v>
      </c>
      <c r="D11" s="81" t="s">
        <v>25</v>
      </c>
      <c r="E11" s="54" t="s">
        <v>33</v>
      </c>
      <c r="F11" s="54" t="s">
        <v>33</v>
      </c>
      <c r="G11" s="54" t="s">
        <v>33</v>
      </c>
      <c r="H11" s="54" t="s">
        <v>33</v>
      </c>
      <c r="I11" s="54" t="s">
        <v>33</v>
      </c>
      <c r="J11" s="54" t="s">
        <v>33</v>
      </c>
      <c r="K11" s="54" t="s">
        <v>33</v>
      </c>
      <c r="L11" s="54" t="s">
        <v>33</v>
      </c>
      <c r="M11" s="54" t="s">
        <v>33</v>
      </c>
      <c r="N11" s="54" t="s">
        <v>33</v>
      </c>
      <c r="O11" s="11" t="s">
        <v>33</v>
      </c>
      <c r="P11" s="82">
        <f t="shared" si="0"/>
        <v>1</v>
      </c>
      <c r="Q11" s="83">
        <f t="shared" si="1"/>
        <v>7.1428571428571425E-2</v>
      </c>
      <c r="R11" s="4" t="s">
        <v>26</v>
      </c>
      <c r="S11" t="s">
        <v>370</v>
      </c>
      <c r="T11" s="48" t="s">
        <v>34</v>
      </c>
      <c r="U11" s="48" t="s">
        <v>400</v>
      </c>
      <c r="V11" s="48" t="s">
        <v>401</v>
      </c>
      <c r="W11" s="48" t="s">
        <v>677</v>
      </c>
      <c r="X11" s="48" t="s">
        <v>678</v>
      </c>
      <c r="Y11" t="s">
        <v>1209</v>
      </c>
      <c r="AD11" t="s">
        <v>883</v>
      </c>
      <c r="AG11" t="s">
        <v>884</v>
      </c>
      <c r="AM11" t="s">
        <v>881</v>
      </c>
    </row>
    <row r="12" spans="1:40" ht="14.45" customHeight="1">
      <c r="A12" s="57" t="s">
        <v>745</v>
      </c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84"/>
      <c r="Q12" s="85"/>
      <c r="R12" s="65"/>
      <c r="S12" s="66"/>
      <c r="T12" s="58"/>
      <c r="U12" s="58"/>
      <c r="V12" s="58"/>
      <c r="W12" s="58"/>
      <c r="X12" s="58"/>
    </row>
    <row r="13" spans="1:40" ht="14.45" customHeight="1">
      <c r="A13" s="81" t="s">
        <v>746</v>
      </c>
      <c r="B13" s="54" t="s">
        <v>33</v>
      </c>
      <c r="C13" s="54" t="s">
        <v>33</v>
      </c>
      <c r="D13" s="54" t="s">
        <v>33</v>
      </c>
      <c r="E13" s="54" t="s">
        <v>33</v>
      </c>
      <c r="F13" s="54" t="s">
        <v>33</v>
      </c>
      <c r="G13" s="54" t="s">
        <v>33</v>
      </c>
      <c r="H13" s="54" t="s">
        <v>33</v>
      </c>
      <c r="I13" s="81" t="s">
        <v>25</v>
      </c>
      <c r="J13" s="54" t="s">
        <v>33</v>
      </c>
      <c r="K13" s="54" t="s">
        <v>33</v>
      </c>
      <c r="L13" s="54" t="s">
        <v>33</v>
      </c>
      <c r="M13" s="54" t="s">
        <v>33</v>
      </c>
      <c r="N13" s="54" t="s">
        <v>33</v>
      </c>
      <c r="O13" s="11" t="s">
        <v>33</v>
      </c>
      <c r="P13" s="82">
        <f>COUNTIF(B13:O13,"✔")</f>
        <v>1</v>
      </c>
      <c r="Q13" s="83">
        <f>P13/14</f>
        <v>7.1428571428571425E-2</v>
      </c>
      <c r="R13" s="4" t="s">
        <v>26</v>
      </c>
      <c r="S13" t="s">
        <v>370</v>
      </c>
      <c r="T13" s="48" t="s">
        <v>34</v>
      </c>
      <c r="U13" s="48" t="s">
        <v>29</v>
      </c>
      <c r="V13" s="48" t="s">
        <v>394</v>
      </c>
      <c r="W13" s="48" t="s">
        <v>85</v>
      </c>
      <c r="X13" s="48" t="s">
        <v>395</v>
      </c>
      <c r="Y13" t="s">
        <v>1210</v>
      </c>
      <c r="AD13" t="s">
        <v>1012</v>
      </c>
      <c r="AG13" t="s">
        <v>884</v>
      </c>
      <c r="AH13" t="s">
        <v>1013</v>
      </c>
      <c r="AM13" t="s">
        <v>881</v>
      </c>
    </row>
    <row r="14" spans="1:40" ht="14.45" customHeight="1">
      <c r="A14" s="81" t="s">
        <v>747</v>
      </c>
      <c r="B14" s="54" t="s">
        <v>33</v>
      </c>
      <c r="C14" s="54" t="s">
        <v>33</v>
      </c>
      <c r="D14" s="54" t="s">
        <v>33</v>
      </c>
      <c r="E14" s="54" t="s">
        <v>33</v>
      </c>
      <c r="F14" s="54" t="s">
        <v>33</v>
      </c>
      <c r="G14" s="54" t="s">
        <v>33</v>
      </c>
      <c r="H14" s="54" t="s">
        <v>33</v>
      </c>
      <c r="I14" s="81" t="s">
        <v>25</v>
      </c>
      <c r="J14" s="54" t="s">
        <v>33</v>
      </c>
      <c r="K14" s="54" t="s">
        <v>33</v>
      </c>
      <c r="L14" s="54" t="s">
        <v>33</v>
      </c>
      <c r="M14" s="54" t="s">
        <v>33</v>
      </c>
      <c r="N14" s="54" t="s">
        <v>33</v>
      </c>
      <c r="O14" s="11" t="s">
        <v>33</v>
      </c>
      <c r="P14" s="82">
        <f>COUNTIF(B14:O14,"✔")</f>
        <v>1</v>
      </c>
      <c r="Q14" s="83">
        <f>P14/14</f>
        <v>7.1428571428571425E-2</v>
      </c>
      <c r="R14" s="4" t="s">
        <v>26</v>
      </c>
      <c r="S14" t="s">
        <v>370</v>
      </c>
      <c r="T14" s="48" t="s">
        <v>34</v>
      </c>
      <c r="U14" s="48" t="s">
        <v>29</v>
      </c>
      <c r="V14" s="48" t="s">
        <v>394</v>
      </c>
      <c r="W14" s="48" t="s">
        <v>85</v>
      </c>
      <c r="X14" s="48" t="s">
        <v>395</v>
      </c>
      <c r="Y14" t="s">
        <v>1211</v>
      </c>
      <c r="AD14" t="s">
        <v>1012</v>
      </c>
      <c r="AG14" t="s">
        <v>884</v>
      </c>
      <c r="AH14" t="s">
        <v>1013</v>
      </c>
      <c r="AM14" t="s">
        <v>881</v>
      </c>
    </row>
    <row r="15" spans="1:40" ht="14.45" customHeight="1">
      <c r="A15" s="81" t="s">
        <v>748</v>
      </c>
      <c r="B15" s="54" t="s">
        <v>33</v>
      </c>
      <c r="C15" s="54" t="s">
        <v>33</v>
      </c>
      <c r="D15" s="54" t="s">
        <v>33</v>
      </c>
      <c r="E15" s="54" t="s">
        <v>33</v>
      </c>
      <c r="F15" s="54" t="s">
        <v>33</v>
      </c>
      <c r="G15" s="54" t="s">
        <v>33</v>
      </c>
      <c r="H15" s="54" t="s">
        <v>33</v>
      </c>
      <c r="I15" s="81" t="s">
        <v>25</v>
      </c>
      <c r="J15" s="54" t="s">
        <v>33</v>
      </c>
      <c r="K15" s="54" t="s">
        <v>33</v>
      </c>
      <c r="L15" s="54" t="s">
        <v>33</v>
      </c>
      <c r="M15" s="54" t="s">
        <v>33</v>
      </c>
      <c r="N15" s="54" t="s">
        <v>33</v>
      </c>
      <c r="O15" s="11" t="s">
        <v>33</v>
      </c>
      <c r="P15" s="82">
        <f>COUNTIF(B15:O15,"✔")</f>
        <v>1</v>
      </c>
      <c r="Q15" s="83">
        <f>P15/14</f>
        <v>7.1428571428571425E-2</v>
      </c>
      <c r="R15" s="4" t="s">
        <v>26</v>
      </c>
      <c r="S15" t="s">
        <v>749</v>
      </c>
      <c r="T15" s="48" t="s">
        <v>34</v>
      </c>
      <c r="U15" s="48" t="s">
        <v>29</v>
      </c>
      <c r="V15" s="48" t="s">
        <v>394</v>
      </c>
      <c r="W15" s="48" t="s">
        <v>85</v>
      </c>
      <c r="X15" s="48" t="s">
        <v>395</v>
      </c>
      <c r="Y15" t="s">
        <v>1212</v>
      </c>
      <c r="AD15" t="s">
        <v>1012</v>
      </c>
      <c r="AG15" t="s">
        <v>884</v>
      </c>
      <c r="AH15" t="s">
        <v>1013</v>
      </c>
      <c r="AM15" t="s">
        <v>881</v>
      </c>
    </row>
    <row r="16" spans="1:40" ht="14.45" customHeight="1">
      <c r="A16" s="81" t="s">
        <v>750</v>
      </c>
      <c r="B16" s="54" t="s">
        <v>33</v>
      </c>
      <c r="C16" s="54" t="s">
        <v>33</v>
      </c>
      <c r="D16" s="54" t="s">
        <v>33</v>
      </c>
      <c r="E16" s="54" t="s">
        <v>33</v>
      </c>
      <c r="F16" s="54" t="s">
        <v>33</v>
      </c>
      <c r="G16" s="54" t="s">
        <v>33</v>
      </c>
      <c r="H16" s="54" t="s">
        <v>33</v>
      </c>
      <c r="I16" s="81" t="s">
        <v>25</v>
      </c>
      <c r="J16" s="54" t="s">
        <v>33</v>
      </c>
      <c r="K16" s="54" t="s">
        <v>33</v>
      </c>
      <c r="L16" s="54" t="s">
        <v>33</v>
      </c>
      <c r="M16" s="54" t="s">
        <v>33</v>
      </c>
      <c r="N16" s="54" t="s">
        <v>33</v>
      </c>
      <c r="O16" s="11" t="s">
        <v>33</v>
      </c>
      <c r="P16" s="82">
        <f>COUNTIF(B16:O16,"✔")</f>
        <v>1</v>
      </c>
      <c r="Q16" s="83">
        <f>P16/14</f>
        <v>7.1428571428571425E-2</v>
      </c>
      <c r="R16" s="4" t="s">
        <v>26</v>
      </c>
      <c r="S16" t="s">
        <v>751</v>
      </c>
      <c r="T16" s="48" t="s">
        <v>34</v>
      </c>
      <c r="U16" s="48" t="s">
        <v>752</v>
      </c>
      <c r="V16" s="48" t="s">
        <v>753</v>
      </c>
      <c r="W16" s="48" t="s">
        <v>85</v>
      </c>
      <c r="X16" s="48" t="s">
        <v>754</v>
      </c>
      <c r="Y16" t="s">
        <v>1213</v>
      </c>
      <c r="AD16" t="s">
        <v>883</v>
      </c>
      <c r="AG16" t="s">
        <v>918</v>
      </c>
      <c r="AM16" t="s">
        <v>881</v>
      </c>
    </row>
    <row r="17" spans="1:40" ht="14.45" customHeight="1">
      <c r="A17" s="81" t="s">
        <v>755</v>
      </c>
      <c r="B17" s="54" t="s">
        <v>33</v>
      </c>
      <c r="C17" s="54" t="s">
        <v>33</v>
      </c>
      <c r="D17" s="54" t="s">
        <v>33</v>
      </c>
      <c r="E17" s="54" t="s">
        <v>33</v>
      </c>
      <c r="F17" s="54" t="s">
        <v>33</v>
      </c>
      <c r="G17" s="54" t="s">
        <v>33</v>
      </c>
      <c r="H17" s="54" t="s">
        <v>33</v>
      </c>
      <c r="I17" s="81" t="s">
        <v>25</v>
      </c>
      <c r="J17" s="54" t="s">
        <v>33</v>
      </c>
      <c r="K17" s="54" t="s">
        <v>33</v>
      </c>
      <c r="L17" s="54" t="s">
        <v>33</v>
      </c>
      <c r="M17" s="54" t="s">
        <v>33</v>
      </c>
      <c r="N17" s="54" t="s">
        <v>33</v>
      </c>
      <c r="O17" s="11" t="s">
        <v>33</v>
      </c>
      <c r="P17" s="82">
        <f>COUNTIF(B17:O17,"✔")</f>
        <v>1</v>
      </c>
      <c r="Q17" s="83">
        <f>P17/14</f>
        <v>7.1428571428571425E-2</v>
      </c>
      <c r="R17" s="4" t="s">
        <v>65</v>
      </c>
      <c r="S17" t="s">
        <v>756</v>
      </c>
      <c r="T17" s="48" t="s">
        <v>34</v>
      </c>
      <c r="U17" s="48" t="s">
        <v>29</v>
      </c>
      <c r="V17" s="48" t="s">
        <v>35</v>
      </c>
      <c r="W17" s="48" t="s">
        <v>142</v>
      </c>
      <c r="X17" s="48" t="s">
        <v>143</v>
      </c>
      <c r="Y17" t="s">
        <v>1214</v>
      </c>
      <c r="AA17" t="s">
        <v>895</v>
      </c>
      <c r="AD17" t="s">
        <v>879</v>
      </c>
      <c r="AG17" t="s">
        <v>884</v>
      </c>
      <c r="AM17" t="s">
        <v>916</v>
      </c>
      <c r="AN17" t="s">
        <v>142</v>
      </c>
    </row>
    <row r="18" spans="1:40" ht="14.45" customHeight="1">
      <c r="A18" s="57" t="s">
        <v>757</v>
      </c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84"/>
      <c r="Q18" s="85"/>
      <c r="R18" s="65"/>
      <c r="S18" s="66"/>
      <c r="T18" s="58"/>
      <c r="U18" s="58"/>
      <c r="V18" s="58"/>
      <c r="W18" s="58"/>
      <c r="X18" s="58"/>
    </row>
    <row r="19" spans="1:40" ht="14.45" customHeight="1">
      <c r="A19" s="81" t="s">
        <v>758</v>
      </c>
      <c r="B19" s="54" t="s">
        <v>33</v>
      </c>
      <c r="C19" s="54" t="s">
        <v>33</v>
      </c>
      <c r="D19" s="54" t="s">
        <v>33</v>
      </c>
      <c r="E19" s="54" t="s">
        <v>33</v>
      </c>
      <c r="F19" s="54" t="s">
        <v>33</v>
      </c>
      <c r="G19" s="54" t="s">
        <v>33</v>
      </c>
      <c r="H19" s="54" t="s">
        <v>33</v>
      </c>
      <c r="I19" s="81" t="s">
        <v>25</v>
      </c>
      <c r="J19" s="54" t="s">
        <v>33</v>
      </c>
      <c r="K19" s="54" t="s">
        <v>33</v>
      </c>
      <c r="L19" s="54" t="s">
        <v>33</v>
      </c>
      <c r="M19" s="54" t="s">
        <v>33</v>
      </c>
      <c r="N19" s="54" t="s">
        <v>33</v>
      </c>
      <c r="O19" s="11" t="s">
        <v>33</v>
      </c>
      <c r="P19" s="82">
        <f>COUNTIF(B19:O19,"✔")</f>
        <v>1</v>
      </c>
      <c r="Q19" s="83">
        <f>P19/14</f>
        <v>7.1428571428571425E-2</v>
      </c>
      <c r="R19" s="4" t="s">
        <v>65</v>
      </c>
      <c r="S19" t="s">
        <v>759</v>
      </c>
      <c r="T19" s="48" t="s">
        <v>34</v>
      </c>
      <c r="U19" s="48" t="s">
        <v>29</v>
      </c>
      <c r="V19" s="48" t="s">
        <v>35</v>
      </c>
      <c r="W19" s="48" t="s">
        <v>142</v>
      </c>
      <c r="X19" s="48" t="s">
        <v>143</v>
      </c>
      <c r="Y19" t="s">
        <v>1215</v>
      </c>
      <c r="AA19" t="s">
        <v>895</v>
      </c>
      <c r="AD19" t="s">
        <v>879</v>
      </c>
      <c r="AG19" t="s">
        <v>884</v>
      </c>
      <c r="AM19" t="s">
        <v>916</v>
      </c>
      <c r="AN19" t="s">
        <v>142</v>
      </c>
    </row>
    <row r="20" spans="1:40" ht="14.45" customHeight="1">
      <c r="A20" s="81" t="s">
        <v>760</v>
      </c>
      <c r="B20" s="54" t="s">
        <v>33</v>
      </c>
      <c r="C20" s="54" t="s">
        <v>33</v>
      </c>
      <c r="D20" s="54" t="s">
        <v>33</v>
      </c>
      <c r="E20" s="54" t="s">
        <v>33</v>
      </c>
      <c r="F20" s="54" t="s">
        <v>33</v>
      </c>
      <c r="G20" s="54" t="s">
        <v>33</v>
      </c>
      <c r="H20" s="54" t="s">
        <v>33</v>
      </c>
      <c r="I20" s="81" t="s">
        <v>25</v>
      </c>
      <c r="J20" s="54" t="s">
        <v>33</v>
      </c>
      <c r="K20" s="54" t="s">
        <v>33</v>
      </c>
      <c r="L20" s="54" t="s">
        <v>33</v>
      </c>
      <c r="M20" s="54" t="s">
        <v>33</v>
      </c>
      <c r="N20" s="54" t="s">
        <v>33</v>
      </c>
      <c r="O20" s="11" t="s">
        <v>33</v>
      </c>
      <c r="P20" s="82">
        <f>COUNTIF(B20:O20,"✔")</f>
        <v>1</v>
      </c>
      <c r="Q20" s="83">
        <f>P20/14</f>
        <v>7.1428571428571425E-2</v>
      </c>
      <c r="R20" s="4" t="s">
        <v>65</v>
      </c>
      <c r="S20" t="s">
        <v>761</v>
      </c>
      <c r="T20" s="48" t="s">
        <v>34</v>
      </c>
      <c r="U20" s="48" t="s">
        <v>29</v>
      </c>
      <c r="V20" s="48" t="s">
        <v>35</v>
      </c>
      <c r="W20" s="48" t="s">
        <v>142</v>
      </c>
      <c r="X20" s="48" t="s">
        <v>143</v>
      </c>
      <c r="Y20" t="s">
        <v>1216</v>
      </c>
      <c r="AA20" t="s">
        <v>895</v>
      </c>
      <c r="AD20" t="s">
        <v>879</v>
      </c>
      <c r="AG20" t="s">
        <v>884</v>
      </c>
      <c r="AM20" t="s">
        <v>916</v>
      </c>
      <c r="AN20" t="s">
        <v>142</v>
      </c>
    </row>
    <row r="21" spans="1:40" ht="14.45" customHeight="1">
      <c r="A21" s="81" t="s">
        <v>762</v>
      </c>
      <c r="B21" s="54" t="s">
        <v>33</v>
      </c>
      <c r="C21" s="54" t="s">
        <v>33</v>
      </c>
      <c r="D21" s="54" t="s">
        <v>33</v>
      </c>
      <c r="E21" s="54" t="s">
        <v>33</v>
      </c>
      <c r="F21" s="54" t="s">
        <v>33</v>
      </c>
      <c r="G21" s="54" t="s">
        <v>33</v>
      </c>
      <c r="H21" s="54" t="s">
        <v>33</v>
      </c>
      <c r="I21" s="81" t="s">
        <v>25</v>
      </c>
      <c r="J21" s="54" t="s">
        <v>33</v>
      </c>
      <c r="K21" s="54" t="s">
        <v>33</v>
      </c>
      <c r="L21" s="54" t="s">
        <v>33</v>
      </c>
      <c r="M21" s="54" t="s">
        <v>33</v>
      </c>
      <c r="N21" s="54" t="s">
        <v>33</v>
      </c>
      <c r="O21" s="11" t="s">
        <v>33</v>
      </c>
      <c r="P21" s="82">
        <f>COUNTIF(B21:O21,"✔")</f>
        <v>1</v>
      </c>
      <c r="Q21" s="83">
        <f>P21/14</f>
        <v>7.1428571428571425E-2</v>
      </c>
      <c r="R21" s="4" t="s">
        <v>65</v>
      </c>
      <c r="S21" t="s">
        <v>763</v>
      </c>
      <c r="T21" s="48" t="s">
        <v>34</v>
      </c>
      <c r="U21" s="48" t="s">
        <v>29</v>
      </c>
      <c r="V21" s="48" t="s">
        <v>35</v>
      </c>
      <c r="W21" s="48" t="s">
        <v>142</v>
      </c>
      <c r="X21" s="48" t="s">
        <v>143</v>
      </c>
      <c r="Y21" t="s">
        <v>1217</v>
      </c>
      <c r="AA21" t="s">
        <v>895</v>
      </c>
      <c r="AD21" t="s">
        <v>879</v>
      </c>
      <c r="AG21" t="s">
        <v>884</v>
      </c>
      <c r="AM21" t="s">
        <v>916</v>
      </c>
      <c r="AN21" t="s">
        <v>142</v>
      </c>
    </row>
    <row r="22" spans="1:40" ht="14.45" customHeight="1">
      <c r="A22" s="57" t="s">
        <v>764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84"/>
      <c r="Q22" s="85"/>
      <c r="R22" s="65"/>
      <c r="S22" s="66"/>
      <c r="T22" s="58"/>
      <c r="U22" s="58"/>
      <c r="V22" s="58"/>
      <c r="W22" s="58"/>
      <c r="X22" s="58"/>
    </row>
    <row r="23" spans="1:40" ht="14.45" customHeight="1">
      <c r="A23" s="81" t="s">
        <v>765</v>
      </c>
      <c r="B23" s="81" t="s">
        <v>25</v>
      </c>
      <c r="C23" s="54" t="s">
        <v>33</v>
      </c>
      <c r="D23" s="81" t="s">
        <v>25</v>
      </c>
      <c r="E23" s="81" t="s">
        <v>25</v>
      </c>
      <c r="F23" s="54" t="s">
        <v>33</v>
      </c>
      <c r="G23" s="81" t="s">
        <v>25</v>
      </c>
      <c r="H23" s="54" t="s">
        <v>33</v>
      </c>
      <c r="I23" s="81" t="s">
        <v>25</v>
      </c>
      <c r="J23" s="54" t="s">
        <v>33</v>
      </c>
      <c r="K23" s="54" t="s">
        <v>33</v>
      </c>
      <c r="L23" s="54" t="s">
        <v>33</v>
      </c>
      <c r="M23" s="54" t="s">
        <v>33</v>
      </c>
      <c r="N23" s="54" t="s">
        <v>33</v>
      </c>
      <c r="O23" s="11" t="s">
        <v>33</v>
      </c>
      <c r="P23" s="82">
        <f>COUNTIF(B23:O23,"✔")</f>
        <v>5</v>
      </c>
      <c r="Q23" s="83">
        <f>P23/14</f>
        <v>0.35714285714285715</v>
      </c>
      <c r="R23" s="4" t="s">
        <v>26</v>
      </c>
      <c r="S23" t="s">
        <v>370</v>
      </c>
      <c r="T23" s="48" t="s">
        <v>34</v>
      </c>
      <c r="U23" s="48" t="s">
        <v>29</v>
      </c>
      <c r="V23" s="48" t="s">
        <v>35</v>
      </c>
      <c r="W23" s="48" t="s">
        <v>142</v>
      </c>
      <c r="X23" s="48" t="s">
        <v>143</v>
      </c>
      <c r="Y23" t="s">
        <v>1218</v>
      </c>
      <c r="AD23" t="s">
        <v>879</v>
      </c>
      <c r="AG23" t="s">
        <v>884</v>
      </c>
      <c r="AM23" t="s">
        <v>916</v>
      </c>
      <c r="AN23" t="s">
        <v>142</v>
      </c>
    </row>
    <row r="24" spans="1:40" ht="14.45" customHeight="1">
      <c r="A24" s="81" t="s">
        <v>766</v>
      </c>
      <c r="B24" s="54" t="s">
        <v>33</v>
      </c>
      <c r="C24" s="54" t="s">
        <v>33</v>
      </c>
      <c r="D24" s="54" t="s">
        <v>33</v>
      </c>
      <c r="E24" s="54" t="s">
        <v>33</v>
      </c>
      <c r="F24" s="54" t="s">
        <v>33</v>
      </c>
      <c r="G24" s="54" t="s">
        <v>33</v>
      </c>
      <c r="H24" s="54" t="s">
        <v>33</v>
      </c>
      <c r="I24" s="81" t="s">
        <v>25</v>
      </c>
      <c r="J24" s="54" t="s">
        <v>33</v>
      </c>
      <c r="K24" s="54" t="s">
        <v>33</v>
      </c>
      <c r="L24" s="54" t="s">
        <v>33</v>
      </c>
      <c r="M24" s="54" t="s">
        <v>33</v>
      </c>
      <c r="N24" s="54" t="s">
        <v>33</v>
      </c>
      <c r="O24" s="11" t="s">
        <v>33</v>
      </c>
      <c r="P24" s="82">
        <f>COUNTIF(B24:O24,"✔")</f>
        <v>1</v>
      </c>
      <c r="Q24" s="83">
        <f>P24/14</f>
        <v>7.1428571428571425E-2</v>
      </c>
      <c r="R24" s="4" t="s">
        <v>26</v>
      </c>
      <c r="S24" t="s">
        <v>403</v>
      </c>
      <c r="T24" s="48" t="s">
        <v>34</v>
      </c>
      <c r="U24" s="48" t="s">
        <v>29</v>
      </c>
      <c r="V24" s="48" t="s">
        <v>60</v>
      </c>
      <c r="W24" s="48" t="s">
        <v>378</v>
      </c>
      <c r="X24" s="48" t="s">
        <v>379</v>
      </c>
      <c r="Y24" t="s">
        <v>1219</v>
      </c>
      <c r="AD24" t="s">
        <v>950</v>
      </c>
      <c r="AG24" t="s">
        <v>884</v>
      </c>
      <c r="AM24" t="s">
        <v>881</v>
      </c>
    </row>
    <row r="25" spans="1:40" ht="14.45" customHeight="1">
      <c r="A25" s="57" t="s">
        <v>767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84"/>
      <c r="Q25" s="85"/>
      <c r="R25" s="65"/>
      <c r="S25" s="66"/>
      <c r="T25" s="58"/>
      <c r="U25" s="58"/>
      <c r="V25" s="58"/>
      <c r="W25" s="58"/>
      <c r="X25" s="58"/>
    </row>
    <row r="26" spans="1:40" ht="14.45" customHeight="1">
      <c r="A26" s="81" t="s">
        <v>768</v>
      </c>
      <c r="B26" s="54" t="s">
        <v>33</v>
      </c>
      <c r="C26" s="54" t="s">
        <v>33</v>
      </c>
      <c r="D26" s="81" t="s">
        <v>25</v>
      </c>
      <c r="E26" s="54" t="s">
        <v>33</v>
      </c>
      <c r="F26" s="81" t="s">
        <v>25</v>
      </c>
      <c r="G26" s="54" t="s">
        <v>33</v>
      </c>
      <c r="H26" s="54" t="s">
        <v>33</v>
      </c>
      <c r="I26" s="54" t="s">
        <v>33</v>
      </c>
      <c r="J26" s="54" t="s">
        <v>33</v>
      </c>
      <c r="K26" s="54" t="s">
        <v>33</v>
      </c>
      <c r="L26" s="54" t="s">
        <v>33</v>
      </c>
      <c r="M26" s="54" t="s">
        <v>33</v>
      </c>
      <c r="N26" s="54" t="s">
        <v>33</v>
      </c>
      <c r="O26" s="11" t="s">
        <v>33</v>
      </c>
      <c r="P26" s="82">
        <f>COUNTIF(B26:O26,"✔")</f>
        <v>2</v>
      </c>
      <c r="Q26" s="83">
        <f>P26/14</f>
        <v>0.14285714285714285</v>
      </c>
      <c r="R26" s="4" t="s">
        <v>26</v>
      </c>
      <c r="S26" t="s">
        <v>769</v>
      </c>
      <c r="T26" s="48" t="s">
        <v>34</v>
      </c>
      <c r="U26" s="48" t="s">
        <v>752</v>
      </c>
      <c r="V26" s="48" t="s">
        <v>753</v>
      </c>
      <c r="W26" s="48" t="s">
        <v>85</v>
      </c>
      <c r="X26" s="46" t="s">
        <v>754</v>
      </c>
      <c r="Y26" t="s">
        <v>1220</v>
      </c>
      <c r="AD26" t="s">
        <v>883</v>
      </c>
      <c r="AG26" t="s">
        <v>918</v>
      </c>
      <c r="AM26" t="s">
        <v>881</v>
      </c>
    </row>
    <row r="27" spans="1:40" ht="14.45" customHeight="1">
      <c r="A27" s="81" t="s">
        <v>770</v>
      </c>
      <c r="B27" s="54" t="s">
        <v>33</v>
      </c>
      <c r="C27" s="54" t="s">
        <v>33</v>
      </c>
      <c r="D27" s="81" t="s">
        <v>25</v>
      </c>
      <c r="E27" s="54" t="s">
        <v>33</v>
      </c>
      <c r="F27" s="54" t="s">
        <v>33</v>
      </c>
      <c r="G27" s="54" t="s">
        <v>33</v>
      </c>
      <c r="H27" s="54" t="s">
        <v>33</v>
      </c>
      <c r="I27" s="54" t="s">
        <v>33</v>
      </c>
      <c r="J27" s="54" t="s">
        <v>33</v>
      </c>
      <c r="K27" s="54" t="s">
        <v>33</v>
      </c>
      <c r="L27" s="54" t="s">
        <v>33</v>
      </c>
      <c r="M27" s="54" t="s">
        <v>33</v>
      </c>
      <c r="N27" s="54" t="s">
        <v>33</v>
      </c>
      <c r="O27" s="11" t="s">
        <v>33</v>
      </c>
      <c r="P27" s="82">
        <f>COUNTIF(B27:O27,"✔")</f>
        <v>1</v>
      </c>
      <c r="Q27" s="83">
        <f>P27/14</f>
        <v>7.1428571428571425E-2</v>
      </c>
      <c r="R27" s="4" t="s">
        <v>65</v>
      </c>
      <c r="S27" t="s">
        <v>616</v>
      </c>
      <c r="T27" s="48" t="s">
        <v>34</v>
      </c>
      <c r="U27" s="48" t="s">
        <v>29</v>
      </c>
      <c r="V27" s="48" t="s">
        <v>35</v>
      </c>
      <c r="W27" s="48" t="s">
        <v>142</v>
      </c>
      <c r="X27" s="48" t="s">
        <v>143</v>
      </c>
      <c r="Y27" t="s">
        <v>1221</v>
      </c>
      <c r="AA27" t="s">
        <v>895</v>
      </c>
      <c r="AD27" t="s">
        <v>879</v>
      </c>
      <c r="AG27" t="s">
        <v>884</v>
      </c>
      <c r="AM27" t="s">
        <v>916</v>
      </c>
      <c r="AN27" t="s">
        <v>142</v>
      </c>
    </row>
    <row r="28" spans="1:40" ht="14.45" customHeight="1">
      <c r="A28" s="57" t="s">
        <v>771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84"/>
      <c r="Q28" s="85"/>
      <c r="R28" s="65"/>
      <c r="S28" s="66"/>
      <c r="T28" s="58"/>
      <c r="U28" s="58"/>
      <c r="V28" s="58"/>
      <c r="W28" s="58"/>
      <c r="X28" s="58"/>
    </row>
    <row r="29" spans="1:40" ht="14.45" customHeight="1">
      <c r="A29" s="81" t="s">
        <v>772</v>
      </c>
      <c r="B29" s="54" t="s">
        <v>33</v>
      </c>
      <c r="C29" s="54" t="s">
        <v>33</v>
      </c>
      <c r="D29" s="54" t="s">
        <v>33</v>
      </c>
      <c r="E29" s="54" t="s">
        <v>33</v>
      </c>
      <c r="F29" s="54" t="s">
        <v>33</v>
      </c>
      <c r="G29" s="81" t="s">
        <v>25</v>
      </c>
      <c r="H29" s="54" t="s">
        <v>33</v>
      </c>
      <c r="I29" s="54" t="s">
        <v>33</v>
      </c>
      <c r="J29" s="54" t="s">
        <v>33</v>
      </c>
      <c r="K29" s="54" t="s">
        <v>33</v>
      </c>
      <c r="L29" s="54" t="s">
        <v>33</v>
      </c>
      <c r="M29" s="81" t="s">
        <v>25</v>
      </c>
      <c r="N29" s="54" t="s">
        <v>33</v>
      </c>
      <c r="O29" s="11" t="s">
        <v>33</v>
      </c>
      <c r="P29" s="82">
        <f>COUNTIF(B29:O29,"✔")</f>
        <v>2</v>
      </c>
      <c r="Q29" s="83">
        <f>P29/14</f>
        <v>0.14285714285714285</v>
      </c>
      <c r="R29" s="4" t="s">
        <v>26</v>
      </c>
      <c r="S29" t="s">
        <v>393</v>
      </c>
      <c r="T29" s="48" t="s">
        <v>34</v>
      </c>
      <c r="U29" s="48" t="s">
        <v>773</v>
      </c>
      <c r="V29" s="48" t="s">
        <v>401</v>
      </c>
      <c r="W29" s="48" t="s">
        <v>677</v>
      </c>
      <c r="X29" s="48" t="s">
        <v>678</v>
      </c>
      <c r="Y29" t="s">
        <v>1222</v>
      </c>
      <c r="AD29" t="s">
        <v>883</v>
      </c>
      <c r="AG29" t="s">
        <v>884</v>
      </c>
      <c r="AM29" t="s">
        <v>881</v>
      </c>
    </row>
    <row r="30" spans="1:40" ht="14.45" customHeight="1">
      <c r="A30" s="81" t="s">
        <v>774</v>
      </c>
      <c r="B30" s="54" t="s">
        <v>33</v>
      </c>
      <c r="C30" s="54" t="s">
        <v>33</v>
      </c>
      <c r="D30" s="81" t="s">
        <v>25</v>
      </c>
      <c r="E30" s="54" t="s">
        <v>33</v>
      </c>
      <c r="F30" s="54" t="s">
        <v>33</v>
      </c>
      <c r="G30" s="54" t="s">
        <v>33</v>
      </c>
      <c r="H30" s="54" t="s">
        <v>33</v>
      </c>
      <c r="I30" s="54" t="s">
        <v>33</v>
      </c>
      <c r="J30" s="54" t="s">
        <v>33</v>
      </c>
      <c r="K30" s="54" t="s">
        <v>33</v>
      </c>
      <c r="L30" s="54" t="s">
        <v>33</v>
      </c>
      <c r="M30" s="81" t="s">
        <v>25</v>
      </c>
      <c r="N30" s="54" t="s">
        <v>33</v>
      </c>
      <c r="O30" s="11" t="s">
        <v>33</v>
      </c>
      <c r="P30" s="82">
        <f>COUNTIF(B30:O30,"✔")</f>
        <v>2</v>
      </c>
      <c r="Q30" s="83">
        <f>P30/14</f>
        <v>0.14285714285714285</v>
      </c>
      <c r="R30" s="4" t="s">
        <v>26</v>
      </c>
      <c r="S30" t="s">
        <v>408</v>
      </c>
      <c r="T30" s="48" t="s">
        <v>34</v>
      </c>
      <c r="U30" s="48" t="s">
        <v>29</v>
      </c>
      <c r="V30" s="48" t="s">
        <v>60</v>
      </c>
      <c r="W30" s="48" t="s">
        <v>61</v>
      </c>
      <c r="X30" s="48" t="s">
        <v>62</v>
      </c>
      <c r="Y30" t="s">
        <v>1223</v>
      </c>
      <c r="AD30" t="s">
        <v>893</v>
      </c>
      <c r="AG30" t="s">
        <v>884</v>
      </c>
      <c r="AM30" t="s">
        <v>881</v>
      </c>
    </row>
  </sheetData>
  <dataValidations count="7">
    <dataValidation type="list" allowBlank="1" showInputMessage="1" sqref="AA2:AA30" xr:uid="{826BF95C-D1D7-4AF2-9A00-D5458161E5B8}">
      <mc:AlternateContent xmlns:x12ac="http://schemas.microsoft.com/office/spreadsheetml/2011/1/ac" xmlns:mc="http://schemas.openxmlformats.org/markup-compatibility/2006">
        <mc:Choice Requires="x12ac">
          <x12ac:list>"Mandatory,Optional,Out of scope,N/A"</x12ac:list>
        </mc:Choice>
        <mc:Fallback>
          <formula1>"Mandatory,Optional,Out of scope,N/A"</formula1>
        </mc:Fallback>
      </mc:AlternateContent>
    </dataValidation>
    <dataValidation type="list" allowBlank="1" showInputMessage="1" sqref="AD2:AD30" xr:uid="{2653DF4F-A639-4155-AE4B-DEF8EC520E12}">
      <mc:AlternateContent xmlns:x12ac="http://schemas.microsoft.com/office/spreadsheetml/2011/1/ac" xmlns:mc="http://schemas.openxmlformats.org/markup-compatibility/2006">
        <mc:Choice Requires="x12ac">
          <x12ac:list>"numeric,categorical,boolean,date,text,document,geometry,time series,reference,composite"</x12ac:list>
        </mc:Choice>
        <mc:Fallback>
          <formula1>"numeric,categorical,boolean,date,text,document,geometry,time series,reference,composite"</formula1>
        </mc:Fallback>
      </mc:AlternateContent>
    </dataValidation>
    <dataValidation type="list" allowBlank="1" showInputMessage="1" sqref="AG2:AG30" xr:uid="{5BDBE016-7163-4CCD-9FF1-26AC2438503D}">
      <mc:AlternateContent xmlns:x12ac="http://schemas.microsoft.com/office/spreadsheetml/2011/1/ac" xmlns:mc="http://schemas.openxmlformats.org/markup-compatibility/2006">
        <mc:Choice Requires="x12ac">
          <x12ac:list>"building,unit,zone,component,site / context,any level"</x12ac:list>
        </mc:Choice>
        <mc:Fallback>
          <formula1>"building,unit,zone,component,site / context,any level"</formula1>
        </mc:Fallback>
      </mc:AlternateContent>
    </dataValidation>
    <dataValidation type="list" allowBlank="1" showInputMessage="1" sqref="AH2:AH30" xr:uid="{791B533C-FF89-4A03-A60B-AA8817E1EB86}">
      <mc:AlternateContent xmlns:x12ac="http://schemas.microsoft.com/office/spreadsheetml/2011/1/ac" xmlns:mc="http://schemas.openxmlformats.org/markup-compatibility/2006">
        <mc:Choice Requires="x12ac">
          <x12ac:list>"static,historical,periodic,real-time"</x12ac:list>
        </mc:Choice>
        <mc:Fallback>
          <formula1>"static,historical,periodic,real-time"</formula1>
        </mc:Fallback>
      </mc:AlternateContent>
    </dataValidation>
    <dataValidation type="list" allowBlank="1" showInputMessage="1" sqref="AI2:AI30" xr:uid="{E18B03D7-7AC2-4BB0-BB5D-B09275BEC531}">
      <mc:AlternateContent xmlns:x12ac="http://schemas.microsoft.com/office/spreadsheetml/2011/1/ac" xmlns:mc="http://schemas.openxmlformats.org/markup-compatibility/2006">
        <mc:Choice Requires="x12ac">
          <x12ac:list>"Public,Restricted,Personal data (GDPR),Commercially sensitive"</x12ac:list>
        </mc:Choice>
        <mc:Fallback>
          <formula1>"Public,Restricted,Personal data (GDPR),Commercially sensitive"</formula1>
        </mc:Fallback>
      </mc:AlternateContent>
    </dataValidation>
    <dataValidation type="list" allowBlank="1" showInputMessage="1" sqref="AL2:AL30" xr:uid="{19738AA4-F860-4F04-B0FE-B71E64BFB44A}">
      <mc:AlternateContent xmlns:x12ac="http://schemas.microsoft.com/office/spreadsheetml/2011/1/ac" xmlns:mc="http://schemas.openxmlformats.org/markup-compatibility/2006">
        <mc:Choice Requires="x12ac">
          <x12ac:list>"open data,API,manual input,inspection,derived"</x12ac:list>
        </mc:Choice>
        <mc:Fallback>
          <formula1>"open data,API,manual input,inspection,derived"</formula1>
        </mc:Fallback>
      </mc:AlternateContent>
    </dataValidation>
    <dataValidation type="list" allowBlank="1" showInputMessage="1" sqref="AM2:AM30" xr:uid="{D66EB97B-F557-4F0F-BFFA-C273493585DA}">
      <mc:AlternateContent xmlns:x12ac="http://schemas.microsoft.com/office/spreadsheetml/2011/1/ac" xmlns:mc="http://schemas.openxmlformats.org/markup-compatibility/2006">
        <mc:Choice Requires="x12ac">
          <x12ac:list>"Native,Workaround,Extension needed,Out of scope,N/A"</x12ac:list>
        </mc:Choice>
        <mc:Fallback>
          <formula1>"Native,Workaround,Extension needed,Out of scope,N/A"</formula1>
        </mc:Fallback>
      </mc:AlternateContent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2"/>
  <dimension ref="A1:AN37"/>
  <sheetViews>
    <sheetView zoomScale="64" zoomScaleNormal="64" workbookViewId="0">
      <pane xSplit="1" topLeftCell="K1" activePane="topRight" state="frozen"/>
      <selection activeCell="Q37" sqref="Q37"/>
      <selection pane="topRight" activeCell="R16" sqref="R16"/>
    </sheetView>
  </sheetViews>
  <sheetFormatPr defaultRowHeight="15" customHeight="1"/>
  <cols>
    <col min="1" max="1" width="50.7109375" customWidth="1"/>
    <col min="2" max="18" width="13.7109375" customWidth="1"/>
    <col min="19" max="22" width="20.7109375" customWidth="1"/>
    <col min="25" max="40" width="16.7109375" customWidth="1"/>
  </cols>
  <sheetData>
    <row r="1" spans="1:40" ht="75" customHeight="1">
      <c r="A1" s="76" t="s">
        <v>861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7" t="s">
        <v>11</v>
      </c>
      <c r="M1" s="77" t="s">
        <v>12</v>
      </c>
      <c r="N1" s="77" t="s">
        <v>13</v>
      </c>
      <c r="O1" s="77" t="s">
        <v>14</v>
      </c>
      <c r="P1" s="77" t="s">
        <v>15</v>
      </c>
      <c r="Q1" s="77" t="s">
        <v>16</v>
      </c>
      <c r="R1" s="67" t="s">
        <v>17</v>
      </c>
      <c r="S1" s="67" t="s">
        <v>18</v>
      </c>
      <c r="T1" s="78" t="s">
        <v>19</v>
      </c>
      <c r="U1" s="78" t="s">
        <v>20</v>
      </c>
      <c r="V1" s="77" t="s">
        <v>21</v>
      </c>
      <c r="W1" s="77" t="s">
        <v>22</v>
      </c>
      <c r="X1" s="77" t="s">
        <v>23</v>
      </c>
      <c r="Y1" s="77" t="s">
        <v>862</v>
      </c>
      <c r="Z1" s="77" t="s">
        <v>863</v>
      </c>
      <c r="AA1" s="77" t="s">
        <v>864</v>
      </c>
      <c r="AB1" s="77" t="s">
        <v>865</v>
      </c>
      <c r="AC1" s="77" t="s">
        <v>866</v>
      </c>
      <c r="AD1" s="77" t="s">
        <v>867</v>
      </c>
      <c r="AE1" s="77" t="s">
        <v>868</v>
      </c>
      <c r="AF1" s="77" t="s">
        <v>869</v>
      </c>
      <c r="AG1" s="77" t="s">
        <v>870</v>
      </c>
      <c r="AH1" s="77" t="s">
        <v>871</v>
      </c>
      <c r="AI1" s="77" t="s">
        <v>872</v>
      </c>
      <c r="AJ1" s="77" t="s">
        <v>873</v>
      </c>
      <c r="AK1" s="77" t="s">
        <v>874</v>
      </c>
      <c r="AL1" s="77" t="s">
        <v>875</v>
      </c>
      <c r="AM1" s="77" t="s">
        <v>876</v>
      </c>
      <c r="AN1" s="77" t="s">
        <v>877</v>
      </c>
    </row>
    <row r="2" spans="1:40" ht="14.45" customHeight="1">
      <c r="A2" s="81" t="s">
        <v>775</v>
      </c>
      <c r="B2" s="49" t="s">
        <v>33</v>
      </c>
      <c r="C2" s="49" t="s">
        <v>33</v>
      </c>
      <c r="D2" s="49" t="s">
        <v>33</v>
      </c>
      <c r="E2" s="49" t="s">
        <v>33</v>
      </c>
      <c r="F2" s="49" t="s">
        <v>33</v>
      </c>
      <c r="G2" s="82" t="s">
        <v>25</v>
      </c>
      <c r="H2" s="49" t="s">
        <v>33</v>
      </c>
      <c r="I2" s="82" t="s">
        <v>25</v>
      </c>
      <c r="J2" s="49" t="s">
        <v>33</v>
      </c>
      <c r="K2" s="49" t="s">
        <v>33</v>
      </c>
      <c r="L2" s="49" t="s">
        <v>33</v>
      </c>
      <c r="M2" s="82" t="s">
        <v>25</v>
      </c>
      <c r="N2" s="49" t="s">
        <v>33</v>
      </c>
      <c r="O2" s="49" t="s">
        <v>33</v>
      </c>
      <c r="P2" s="82">
        <f>COUNTIF(B2:O2,"✔")</f>
        <v>3</v>
      </c>
      <c r="Q2" s="83">
        <f>P2/14</f>
        <v>0.21428571428571427</v>
      </c>
      <c r="R2" s="4" t="s">
        <v>199</v>
      </c>
      <c r="S2" t="s">
        <v>776</v>
      </c>
      <c r="T2" s="74"/>
      <c r="U2" s="59" t="s">
        <v>199</v>
      </c>
      <c r="V2" s="48"/>
      <c r="W2" s="48"/>
      <c r="X2" s="48"/>
      <c r="Y2" t="s">
        <v>1224</v>
      </c>
      <c r="AA2" t="s">
        <v>199</v>
      </c>
      <c r="AM2" t="s">
        <v>199</v>
      </c>
    </row>
    <row r="3" spans="1:40" ht="14.45" customHeight="1">
      <c r="A3" s="57" t="s">
        <v>777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5"/>
      <c r="R3" s="65"/>
      <c r="S3" s="66"/>
      <c r="T3" s="75"/>
      <c r="U3" s="60"/>
      <c r="V3" s="58"/>
      <c r="W3" s="58"/>
      <c r="X3" s="58"/>
    </row>
    <row r="4" spans="1:40" ht="14.45" customHeight="1">
      <c r="A4" s="81" t="s">
        <v>778</v>
      </c>
      <c r="B4" s="82" t="s">
        <v>25</v>
      </c>
      <c r="C4" s="82" t="s">
        <v>25</v>
      </c>
      <c r="D4" s="49" t="s">
        <v>33</v>
      </c>
      <c r="E4" s="49" t="s">
        <v>33</v>
      </c>
      <c r="F4" s="82" t="s">
        <v>25</v>
      </c>
      <c r="G4" s="49" t="s">
        <v>33</v>
      </c>
      <c r="H4" s="49" t="s">
        <v>33</v>
      </c>
      <c r="I4" s="49" t="s">
        <v>33</v>
      </c>
      <c r="J4" s="82" t="s">
        <v>25</v>
      </c>
      <c r="K4" s="82" t="s">
        <v>25</v>
      </c>
      <c r="L4" s="82" t="s">
        <v>25</v>
      </c>
      <c r="M4" s="82" t="s">
        <v>25</v>
      </c>
      <c r="N4" s="82" t="s">
        <v>25</v>
      </c>
      <c r="O4" s="64" t="s">
        <v>25</v>
      </c>
      <c r="P4" s="82">
        <f>COUNTIF(B4:O4,"✔")</f>
        <v>9</v>
      </c>
      <c r="Q4" s="83">
        <f>P4/14</f>
        <v>0.6428571428571429</v>
      </c>
      <c r="R4" s="4" t="s">
        <v>26</v>
      </c>
      <c r="S4" t="s">
        <v>779</v>
      </c>
      <c r="T4" s="74" t="s">
        <v>34</v>
      </c>
      <c r="U4" s="59" t="s">
        <v>29</v>
      </c>
      <c r="V4" s="48" t="s">
        <v>82</v>
      </c>
      <c r="W4" s="48" t="s">
        <v>87</v>
      </c>
      <c r="X4" s="48" t="s">
        <v>88</v>
      </c>
      <c r="Y4" t="s">
        <v>1225</v>
      </c>
      <c r="AD4" t="s">
        <v>883</v>
      </c>
      <c r="AG4" t="s">
        <v>884</v>
      </c>
      <c r="AH4" t="s">
        <v>901</v>
      </c>
      <c r="AM4" t="s">
        <v>881</v>
      </c>
    </row>
    <row r="5" spans="1:40" ht="14.45" customHeight="1">
      <c r="A5" s="81"/>
      <c r="B5" s="82"/>
      <c r="C5" s="82"/>
      <c r="D5" s="49"/>
      <c r="E5" s="49"/>
      <c r="F5" s="82"/>
      <c r="G5" s="49"/>
      <c r="H5" s="49"/>
      <c r="I5" s="49"/>
      <c r="J5" s="82"/>
      <c r="K5" s="82"/>
      <c r="L5" s="82"/>
      <c r="M5" s="49"/>
      <c r="N5" s="82"/>
      <c r="O5" s="82"/>
      <c r="P5" s="82"/>
      <c r="Q5" s="83"/>
      <c r="R5" s="4"/>
      <c r="T5" s="74" t="s">
        <v>34</v>
      </c>
      <c r="U5" s="59" t="s">
        <v>29</v>
      </c>
      <c r="V5" s="48" t="s">
        <v>82</v>
      </c>
      <c r="W5" s="48" t="s">
        <v>85</v>
      </c>
      <c r="X5" s="48" t="s">
        <v>86</v>
      </c>
    </row>
    <row r="6" spans="1:40" ht="14.45" customHeight="1">
      <c r="A6" s="81"/>
      <c r="B6" s="82"/>
      <c r="C6" s="82"/>
      <c r="D6" s="49"/>
      <c r="E6" s="49"/>
      <c r="F6" s="82"/>
      <c r="G6" s="49"/>
      <c r="H6" s="49"/>
      <c r="I6" s="49"/>
      <c r="J6" s="82"/>
      <c r="K6" s="82"/>
      <c r="L6" s="82"/>
      <c r="M6" s="49"/>
      <c r="N6" s="82"/>
      <c r="O6" s="82"/>
      <c r="P6" s="82"/>
      <c r="Q6" s="83"/>
      <c r="R6" s="4"/>
      <c r="T6" s="74" t="s">
        <v>34</v>
      </c>
      <c r="U6" s="59" t="s">
        <v>29</v>
      </c>
      <c r="V6" s="48" t="s">
        <v>82</v>
      </c>
      <c r="W6" s="48" t="s">
        <v>83</v>
      </c>
      <c r="X6" s="48" t="s">
        <v>62</v>
      </c>
    </row>
    <row r="7" spans="1:40" ht="14.45" customHeight="1">
      <c r="A7" s="81"/>
      <c r="B7" s="82"/>
      <c r="C7" s="82"/>
      <c r="D7" s="49"/>
      <c r="E7" s="49"/>
      <c r="F7" s="82"/>
      <c r="G7" s="49"/>
      <c r="H7" s="49"/>
      <c r="I7" s="49"/>
      <c r="J7" s="82"/>
      <c r="K7" s="82"/>
      <c r="L7" s="82"/>
      <c r="M7" s="49"/>
      <c r="N7" s="82"/>
      <c r="O7" s="82"/>
      <c r="P7" s="82"/>
      <c r="Q7" s="83"/>
      <c r="R7" s="4"/>
      <c r="T7" s="74" t="s">
        <v>34</v>
      </c>
      <c r="U7" s="59" t="s">
        <v>29</v>
      </c>
      <c r="V7" s="48" t="s">
        <v>82</v>
      </c>
      <c r="W7" s="48" t="s">
        <v>84</v>
      </c>
      <c r="X7" s="48" t="s">
        <v>62</v>
      </c>
    </row>
    <row r="8" spans="1:40" ht="14.45" customHeight="1">
      <c r="A8" s="81" t="s">
        <v>780</v>
      </c>
      <c r="B8" s="82" t="s">
        <v>25</v>
      </c>
      <c r="C8" s="49" t="s">
        <v>33</v>
      </c>
      <c r="D8" s="82" t="s">
        <v>25</v>
      </c>
      <c r="E8" s="82" t="s">
        <v>25</v>
      </c>
      <c r="F8" s="82" t="s">
        <v>25</v>
      </c>
      <c r="G8" s="49" t="s">
        <v>33</v>
      </c>
      <c r="H8" s="49" t="s">
        <v>33</v>
      </c>
      <c r="I8" s="49" t="s">
        <v>33</v>
      </c>
      <c r="J8" s="82" t="s">
        <v>25</v>
      </c>
      <c r="K8" s="82" t="s">
        <v>25</v>
      </c>
      <c r="L8" s="82" t="s">
        <v>25</v>
      </c>
      <c r="M8" s="49" t="s">
        <v>33</v>
      </c>
      <c r="N8" s="82" t="s">
        <v>25</v>
      </c>
      <c r="O8" s="64" t="s">
        <v>25</v>
      </c>
      <c r="P8" s="82">
        <f>COUNTIF(B8:O8,"✔")</f>
        <v>9</v>
      </c>
      <c r="Q8" s="83">
        <f>P8/14</f>
        <v>0.6428571428571429</v>
      </c>
      <c r="R8" s="4" t="s">
        <v>26</v>
      </c>
      <c r="S8" t="s">
        <v>779</v>
      </c>
      <c r="T8" s="74" t="s">
        <v>33</v>
      </c>
      <c r="U8" s="59" t="s">
        <v>33</v>
      </c>
      <c r="V8" s="48"/>
      <c r="W8" s="48"/>
      <c r="X8" s="48"/>
      <c r="Y8" t="s">
        <v>1226</v>
      </c>
      <c r="AM8" t="s">
        <v>931</v>
      </c>
    </row>
    <row r="9" spans="1:40" ht="14.45" customHeight="1">
      <c r="A9" s="81" t="s">
        <v>781</v>
      </c>
      <c r="B9" s="82" t="s">
        <v>25</v>
      </c>
      <c r="C9" s="82" t="s">
        <v>25</v>
      </c>
      <c r="D9" s="82" t="s">
        <v>25</v>
      </c>
      <c r="E9" s="82" t="s">
        <v>25</v>
      </c>
      <c r="F9" s="82" t="s">
        <v>25</v>
      </c>
      <c r="G9" s="49" t="s">
        <v>33</v>
      </c>
      <c r="H9" s="49" t="s">
        <v>33</v>
      </c>
      <c r="I9" s="49" t="s">
        <v>33</v>
      </c>
      <c r="J9" s="82" t="s">
        <v>25</v>
      </c>
      <c r="K9" s="49" t="s">
        <v>33</v>
      </c>
      <c r="L9" s="49" t="s">
        <v>33</v>
      </c>
      <c r="M9" s="49" t="s">
        <v>33</v>
      </c>
      <c r="N9" s="82" t="s">
        <v>25</v>
      </c>
      <c r="O9" s="5" t="s">
        <v>33</v>
      </c>
      <c r="P9" s="82">
        <f>COUNTIF(B9:O9,"✔")</f>
        <v>7</v>
      </c>
      <c r="Q9" s="83">
        <f>P9/14</f>
        <v>0.5</v>
      </c>
      <c r="R9" s="4" t="s">
        <v>26</v>
      </c>
      <c r="S9" t="s">
        <v>779</v>
      </c>
      <c r="T9" s="74" t="s">
        <v>34</v>
      </c>
      <c r="U9" s="59" t="s">
        <v>29</v>
      </c>
      <c r="V9" s="48" t="s">
        <v>82</v>
      </c>
      <c r="W9" s="48" t="s">
        <v>83</v>
      </c>
      <c r="X9" s="48" t="s">
        <v>62</v>
      </c>
      <c r="Y9" t="s">
        <v>1227</v>
      </c>
      <c r="AD9" t="s">
        <v>893</v>
      </c>
      <c r="AG9" t="s">
        <v>884</v>
      </c>
      <c r="AH9" t="s">
        <v>901</v>
      </c>
      <c r="AM9" t="s">
        <v>881</v>
      </c>
    </row>
    <row r="10" spans="1:40" ht="14.45" customHeight="1">
      <c r="A10" s="81" t="s">
        <v>782</v>
      </c>
      <c r="B10" s="82" t="s">
        <v>25</v>
      </c>
      <c r="C10" s="49" t="s">
        <v>33</v>
      </c>
      <c r="D10" s="82" t="s">
        <v>25</v>
      </c>
      <c r="E10" s="82" t="s">
        <v>25</v>
      </c>
      <c r="F10" s="82" t="s">
        <v>25</v>
      </c>
      <c r="G10" s="49" t="s">
        <v>33</v>
      </c>
      <c r="H10" s="49" t="s">
        <v>33</v>
      </c>
      <c r="I10" s="49" t="s">
        <v>33</v>
      </c>
      <c r="J10" s="82" t="s">
        <v>25</v>
      </c>
      <c r="K10" s="49" t="s">
        <v>33</v>
      </c>
      <c r="L10" s="82" t="s">
        <v>25</v>
      </c>
      <c r="M10" s="82" t="s">
        <v>25</v>
      </c>
      <c r="N10" s="82" t="s">
        <v>25</v>
      </c>
      <c r="O10" s="64" t="s">
        <v>25</v>
      </c>
      <c r="P10" s="82">
        <f>COUNTIF(B10:O10,"✔")</f>
        <v>9</v>
      </c>
      <c r="Q10" s="83">
        <f>P10/14</f>
        <v>0.6428571428571429</v>
      </c>
      <c r="R10" s="4" t="s">
        <v>26</v>
      </c>
      <c r="S10" t="s">
        <v>403</v>
      </c>
      <c r="T10" s="74" t="s">
        <v>34</v>
      </c>
      <c r="U10" s="59" t="s">
        <v>29</v>
      </c>
      <c r="V10" s="48" t="s">
        <v>60</v>
      </c>
      <c r="W10" s="48" t="s">
        <v>378</v>
      </c>
      <c r="X10" s="48" t="s">
        <v>379</v>
      </c>
      <c r="Y10" t="s">
        <v>1228</v>
      </c>
      <c r="AD10" t="s">
        <v>950</v>
      </c>
      <c r="AG10" t="s">
        <v>884</v>
      </c>
      <c r="AM10" t="s">
        <v>881</v>
      </c>
    </row>
    <row r="11" spans="1:40" ht="14.45" customHeight="1">
      <c r="A11" s="81" t="s">
        <v>783</v>
      </c>
      <c r="B11" s="49" t="s">
        <v>33</v>
      </c>
      <c r="C11" s="82" t="s">
        <v>25</v>
      </c>
      <c r="D11" s="82" t="s">
        <v>25</v>
      </c>
      <c r="E11" s="49" t="s">
        <v>33</v>
      </c>
      <c r="F11" s="49" t="s">
        <v>33</v>
      </c>
      <c r="G11" s="49" t="s">
        <v>33</v>
      </c>
      <c r="H11" s="49" t="s">
        <v>33</v>
      </c>
      <c r="I11" s="49" t="s">
        <v>33</v>
      </c>
      <c r="J11" s="49" t="s">
        <v>33</v>
      </c>
      <c r="K11" s="82" t="s">
        <v>25</v>
      </c>
      <c r="L11" s="49" t="s">
        <v>33</v>
      </c>
      <c r="M11" s="49" t="s">
        <v>33</v>
      </c>
      <c r="N11" s="82" t="s">
        <v>25</v>
      </c>
      <c r="O11" s="64" t="s">
        <v>25</v>
      </c>
      <c r="P11" s="82">
        <f>COUNTIF(B11:O11,"✔")</f>
        <v>5</v>
      </c>
      <c r="Q11" s="83">
        <f>P11/14</f>
        <v>0.35714285714285715</v>
      </c>
      <c r="R11" s="4" t="s">
        <v>26</v>
      </c>
      <c r="S11" t="s">
        <v>779</v>
      </c>
      <c r="T11" s="74" t="s">
        <v>33</v>
      </c>
      <c r="U11" s="59" t="s">
        <v>33</v>
      </c>
      <c r="V11" s="48"/>
      <c r="W11" s="48"/>
      <c r="X11" s="48"/>
      <c r="Y11" t="s">
        <v>1229</v>
      </c>
      <c r="AM11" t="s">
        <v>931</v>
      </c>
    </row>
    <row r="12" spans="1:40" ht="14.45" customHeight="1">
      <c r="A12" s="57" t="s">
        <v>784</v>
      </c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5"/>
      <c r="R12" s="65"/>
      <c r="S12" s="66"/>
      <c r="T12" s="75"/>
      <c r="U12" s="60"/>
      <c r="V12" s="58"/>
      <c r="W12" s="58"/>
      <c r="X12" s="58"/>
    </row>
    <row r="13" spans="1:40" ht="14.45" customHeight="1">
      <c r="A13" s="81" t="s">
        <v>785</v>
      </c>
      <c r="B13" s="82" t="s">
        <v>25</v>
      </c>
      <c r="C13" s="82" t="s">
        <v>25</v>
      </c>
      <c r="D13" s="82" t="s">
        <v>25</v>
      </c>
      <c r="E13" s="82" t="s">
        <v>25</v>
      </c>
      <c r="F13" s="82" t="s">
        <v>25</v>
      </c>
      <c r="G13" s="49" t="s">
        <v>33</v>
      </c>
      <c r="H13" s="49" t="s">
        <v>33</v>
      </c>
      <c r="I13" s="49" t="s">
        <v>33</v>
      </c>
      <c r="J13" s="82" t="s">
        <v>25</v>
      </c>
      <c r="K13" s="82" t="s">
        <v>25</v>
      </c>
      <c r="L13" s="82" t="s">
        <v>25</v>
      </c>
      <c r="M13" s="82" t="s">
        <v>25</v>
      </c>
      <c r="N13" s="82" t="s">
        <v>25</v>
      </c>
      <c r="O13" s="64" t="s">
        <v>25</v>
      </c>
      <c r="P13" s="82">
        <f>COUNTIF(B13:O13,"✔")</f>
        <v>11</v>
      </c>
      <c r="Q13" s="83">
        <f>P13/14</f>
        <v>0.7857142857142857</v>
      </c>
      <c r="R13" s="4" t="s">
        <v>26</v>
      </c>
      <c r="S13" t="s">
        <v>779</v>
      </c>
      <c r="T13" s="74" t="s">
        <v>34</v>
      </c>
      <c r="U13" s="59" t="s">
        <v>312</v>
      </c>
      <c r="V13" s="48" t="s">
        <v>352</v>
      </c>
      <c r="W13" s="48" t="s">
        <v>397</v>
      </c>
      <c r="X13" s="48" t="s">
        <v>192</v>
      </c>
      <c r="Y13" t="s">
        <v>1230</v>
      </c>
      <c r="AD13" t="s">
        <v>899</v>
      </c>
      <c r="AG13" t="s">
        <v>884</v>
      </c>
      <c r="AM13" t="s">
        <v>881</v>
      </c>
    </row>
    <row r="14" spans="1:40" ht="14.45" customHeight="1">
      <c r="A14" s="81" t="s">
        <v>786</v>
      </c>
      <c r="B14" s="82" t="s">
        <v>25</v>
      </c>
      <c r="C14" s="82" t="s">
        <v>25</v>
      </c>
      <c r="D14" s="49" t="s">
        <v>33</v>
      </c>
      <c r="E14" s="82" t="s">
        <v>25</v>
      </c>
      <c r="F14" s="82" t="s">
        <v>25</v>
      </c>
      <c r="G14" s="49" t="s">
        <v>33</v>
      </c>
      <c r="H14" s="49" t="s">
        <v>33</v>
      </c>
      <c r="I14" s="49" t="s">
        <v>33</v>
      </c>
      <c r="J14" s="82" t="s">
        <v>25</v>
      </c>
      <c r="K14" s="82" t="s">
        <v>25</v>
      </c>
      <c r="L14" s="82" t="s">
        <v>25</v>
      </c>
      <c r="M14" s="82" t="s">
        <v>25</v>
      </c>
      <c r="N14" s="82" t="s">
        <v>25</v>
      </c>
      <c r="O14" s="5" t="s">
        <v>33</v>
      </c>
      <c r="P14" s="82">
        <f>COUNTIF(B14:O14,"✔")</f>
        <v>9</v>
      </c>
      <c r="Q14" s="83">
        <f>P14/14</f>
        <v>0.6428571428571429</v>
      </c>
      <c r="R14" s="4" t="s">
        <v>26</v>
      </c>
      <c r="S14" t="s">
        <v>779</v>
      </c>
      <c r="T14" s="74" t="s">
        <v>34</v>
      </c>
      <c r="U14" s="59" t="s">
        <v>40</v>
      </c>
      <c r="V14" s="48" t="s">
        <v>563</v>
      </c>
      <c r="W14" s="48" t="s">
        <v>564</v>
      </c>
      <c r="X14" s="48" t="s">
        <v>565</v>
      </c>
      <c r="Y14" t="s">
        <v>1231</v>
      </c>
      <c r="AD14" t="s">
        <v>886</v>
      </c>
      <c r="AG14" t="s">
        <v>880</v>
      </c>
      <c r="AM14" t="s">
        <v>881</v>
      </c>
    </row>
    <row r="15" spans="1:40" ht="14.45" customHeight="1">
      <c r="A15" s="81" t="s">
        <v>787</v>
      </c>
      <c r="B15" s="82" t="s">
        <v>25</v>
      </c>
      <c r="C15" s="49" t="s">
        <v>33</v>
      </c>
      <c r="D15" s="82" t="s">
        <v>25</v>
      </c>
      <c r="E15" s="82" t="s">
        <v>25</v>
      </c>
      <c r="F15" s="49" t="s">
        <v>33</v>
      </c>
      <c r="G15" s="49" t="s">
        <v>33</v>
      </c>
      <c r="H15" s="49" t="s">
        <v>33</v>
      </c>
      <c r="I15" s="49" t="s">
        <v>33</v>
      </c>
      <c r="J15" s="82" t="s">
        <v>25</v>
      </c>
      <c r="K15" s="82" t="s">
        <v>25</v>
      </c>
      <c r="L15" s="82" t="s">
        <v>25</v>
      </c>
      <c r="M15" s="49" t="s">
        <v>33</v>
      </c>
      <c r="N15" s="82" t="s">
        <v>25</v>
      </c>
      <c r="O15" s="5" t="s">
        <v>33</v>
      </c>
      <c r="P15" s="82">
        <f>COUNTIF(B15:O15,"✔")</f>
        <v>7</v>
      </c>
      <c r="Q15" s="83">
        <f>P15/14</f>
        <v>0.5</v>
      </c>
      <c r="R15" s="4" t="s">
        <v>26</v>
      </c>
      <c r="S15" t="s">
        <v>779</v>
      </c>
      <c r="T15" s="74" t="s">
        <v>34</v>
      </c>
      <c r="U15" s="59" t="s">
        <v>312</v>
      </c>
      <c r="V15" s="48" t="s">
        <v>352</v>
      </c>
      <c r="W15" s="48" t="s">
        <v>788</v>
      </c>
      <c r="X15" s="48" t="s">
        <v>192</v>
      </c>
      <c r="Y15" t="s">
        <v>1232</v>
      </c>
      <c r="AD15" t="s">
        <v>899</v>
      </c>
      <c r="AG15" t="s">
        <v>884</v>
      </c>
      <c r="AM15" t="s">
        <v>881</v>
      </c>
    </row>
    <row r="16" spans="1:40" ht="14.45" customHeight="1">
      <c r="A16" s="81" t="s">
        <v>789</v>
      </c>
      <c r="B16" s="82" t="s">
        <v>25</v>
      </c>
      <c r="C16" s="82" t="s">
        <v>25</v>
      </c>
      <c r="D16" s="49" t="s">
        <v>33</v>
      </c>
      <c r="E16" s="49" t="s">
        <v>33</v>
      </c>
      <c r="F16" s="49" t="s">
        <v>33</v>
      </c>
      <c r="G16" s="49" t="s">
        <v>33</v>
      </c>
      <c r="H16" s="49" t="s">
        <v>33</v>
      </c>
      <c r="I16" s="49" t="s">
        <v>33</v>
      </c>
      <c r="J16" s="49" t="s">
        <v>33</v>
      </c>
      <c r="K16" s="82" t="s">
        <v>25</v>
      </c>
      <c r="L16" s="82" t="s">
        <v>25</v>
      </c>
      <c r="M16" s="82" t="s">
        <v>25</v>
      </c>
      <c r="N16" s="82" t="s">
        <v>25</v>
      </c>
      <c r="O16" s="5" t="s">
        <v>33</v>
      </c>
      <c r="P16" s="82">
        <f>COUNTIF(B16:O16,"✔")</f>
        <v>6</v>
      </c>
      <c r="Q16" s="83">
        <f>P16/14</f>
        <v>0.42857142857142855</v>
      </c>
      <c r="R16" s="4" t="s">
        <v>26</v>
      </c>
      <c r="S16" t="s">
        <v>779</v>
      </c>
      <c r="T16" s="74" t="s">
        <v>34</v>
      </c>
      <c r="U16" s="59" t="s">
        <v>29</v>
      </c>
      <c r="V16" s="48" t="s">
        <v>335</v>
      </c>
      <c r="W16" s="48" t="s">
        <v>368</v>
      </c>
      <c r="X16" s="48" t="s">
        <v>138</v>
      </c>
      <c r="Y16" t="s">
        <v>1233</v>
      </c>
      <c r="AD16" t="s">
        <v>899</v>
      </c>
      <c r="AG16" t="s">
        <v>910</v>
      </c>
      <c r="AM16" t="s">
        <v>881</v>
      </c>
    </row>
    <row r="17" spans="1:40" ht="14.45" customHeight="1">
      <c r="A17" s="57" t="s">
        <v>790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5"/>
      <c r="R17" s="65"/>
      <c r="S17" s="66"/>
      <c r="T17" s="75"/>
      <c r="U17" s="60"/>
      <c r="V17" s="58"/>
      <c r="W17" s="58"/>
      <c r="X17" s="58"/>
    </row>
    <row r="18" spans="1:40" ht="14.45" customHeight="1">
      <c r="A18" s="81" t="s">
        <v>791</v>
      </c>
      <c r="B18" s="49" t="s">
        <v>33</v>
      </c>
      <c r="C18" s="82" t="s">
        <v>25</v>
      </c>
      <c r="D18" s="82" t="s">
        <v>25</v>
      </c>
      <c r="E18" s="82" t="s">
        <v>25</v>
      </c>
      <c r="F18" s="82" t="s">
        <v>25</v>
      </c>
      <c r="G18" s="49" t="s">
        <v>33</v>
      </c>
      <c r="H18" s="49" t="s">
        <v>33</v>
      </c>
      <c r="I18" s="49" t="s">
        <v>33</v>
      </c>
      <c r="J18" s="82" t="s">
        <v>25</v>
      </c>
      <c r="K18" s="82" t="s">
        <v>25</v>
      </c>
      <c r="L18" s="82" t="s">
        <v>25</v>
      </c>
      <c r="M18" s="49" t="s">
        <v>33</v>
      </c>
      <c r="N18" s="82" t="s">
        <v>25</v>
      </c>
      <c r="O18" s="64" t="s">
        <v>25</v>
      </c>
      <c r="P18" s="82">
        <f t="shared" ref="P18:P24" si="0">COUNTIF(B18:O18,"✔")</f>
        <v>9</v>
      </c>
      <c r="Q18" s="83">
        <f t="shared" ref="Q18:Q24" si="1">P18/14</f>
        <v>0.6428571428571429</v>
      </c>
      <c r="R18" s="4" t="s">
        <v>26</v>
      </c>
      <c r="S18" t="s">
        <v>779</v>
      </c>
      <c r="T18" s="74" t="s">
        <v>34</v>
      </c>
      <c r="U18" s="59" t="s">
        <v>312</v>
      </c>
      <c r="V18" s="48" t="s">
        <v>538</v>
      </c>
      <c r="W18" s="48" t="s">
        <v>499</v>
      </c>
      <c r="X18" s="48" t="s">
        <v>192</v>
      </c>
      <c r="Y18" t="s">
        <v>1234</v>
      </c>
      <c r="AD18" t="s">
        <v>899</v>
      </c>
      <c r="AG18" t="s">
        <v>884</v>
      </c>
      <c r="AM18" t="s">
        <v>881</v>
      </c>
    </row>
    <row r="19" spans="1:40" ht="14.45" customHeight="1">
      <c r="A19" s="81" t="s">
        <v>792</v>
      </c>
      <c r="B19" s="49" t="s">
        <v>33</v>
      </c>
      <c r="C19" s="49" t="s">
        <v>33</v>
      </c>
      <c r="D19" s="82" t="s">
        <v>25</v>
      </c>
      <c r="E19" s="82" t="s">
        <v>25</v>
      </c>
      <c r="F19" s="49" t="s">
        <v>33</v>
      </c>
      <c r="G19" s="49" t="s">
        <v>33</v>
      </c>
      <c r="H19" s="49" t="s">
        <v>33</v>
      </c>
      <c r="I19" s="82" t="s">
        <v>25</v>
      </c>
      <c r="J19" s="82" t="s">
        <v>25</v>
      </c>
      <c r="K19" s="82" t="s">
        <v>25</v>
      </c>
      <c r="L19" s="82" t="s">
        <v>25</v>
      </c>
      <c r="M19" s="49" t="s">
        <v>33</v>
      </c>
      <c r="N19" s="82" t="s">
        <v>25</v>
      </c>
      <c r="O19" s="64" t="s">
        <v>25</v>
      </c>
      <c r="P19" s="82">
        <f t="shared" si="0"/>
        <v>8</v>
      </c>
      <c r="Q19" s="83">
        <f t="shared" si="1"/>
        <v>0.5714285714285714</v>
      </c>
      <c r="R19" s="4" t="s">
        <v>26</v>
      </c>
      <c r="S19" t="s">
        <v>779</v>
      </c>
      <c r="T19" s="74" t="s">
        <v>34</v>
      </c>
      <c r="U19" s="59" t="s">
        <v>312</v>
      </c>
      <c r="V19" s="48" t="s">
        <v>373</v>
      </c>
      <c r="W19" s="48" t="s">
        <v>499</v>
      </c>
      <c r="X19" s="48" t="s">
        <v>192</v>
      </c>
      <c r="Y19" t="s">
        <v>1235</v>
      </c>
      <c r="AD19" t="s">
        <v>899</v>
      </c>
      <c r="AG19" t="s">
        <v>884</v>
      </c>
      <c r="AM19" t="s">
        <v>881</v>
      </c>
    </row>
    <row r="20" spans="1:40" ht="14.45" customHeight="1">
      <c r="A20" s="81" t="s">
        <v>793</v>
      </c>
      <c r="B20" s="49" t="s">
        <v>33</v>
      </c>
      <c r="C20" s="49" t="s">
        <v>33</v>
      </c>
      <c r="D20" s="82" t="s">
        <v>25</v>
      </c>
      <c r="E20" s="82" t="s">
        <v>25</v>
      </c>
      <c r="F20" s="49" t="s">
        <v>33</v>
      </c>
      <c r="G20" s="49" t="s">
        <v>33</v>
      </c>
      <c r="H20" s="49" t="s">
        <v>33</v>
      </c>
      <c r="I20" s="82" t="s">
        <v>25</v>
      </c>
      <c r="J20" s="82" t="s">
        <v>25</v>
      </c>
      <c r="K20" s="82" t="s">
        <v>25</v>
      </c>
      <c r="L20" s="82" t="s">
        <v>25</v>
      </c>
      <c r="M20" s="49" t="s">
        <v>33</v>
      </c>
      <c r="N20" s="82" t="s">
        <v>25</v>
      </c>
      <c r="O20" s="5" t="s">
        <v>33</v>
      </c>
      <c r="P20" s="82">
        <f t="shared" si="0"/>
        <v>7</v>
      </c>
      <c r="Q20" s="83">
        <f t="shared" si="1"/>
        <v>0.5</v>
      </c>
      <c r="R20" s="4" t="s">
        <v>26</v>
      </c>
      <c r="S20" t="s">
        <v>779</v>
      </c>
      <c r="T20" s="74" t="s">
        <v>34</v>
      </c>
      <c r="U20" s="59" t="s">
        <v>312</v>
      </c>
      <c r="V20" s="48" t="s">
        <v>373</v>
      </c>
      <c r="W20" s="48" t="s">
        <v>534</v>
      </c>
      <c r="X20" s="48" t="s">
        <v>192</v>
      </c>
      <c r="Y20" t="s">
        <v>1236</v>
      </c>
      <c r="AD20" t="s">
        <v>899</v>
      </c>
      <c r="AG20" t="s">
        <v>884</v>
      </c>
      <c r="AM20" t="s">
        <v>881</v>
      </c>
    </row>
    <row r="21" spans="1:40" ht="14.45" customHeight="1">
      <c r="A21" s="81" t="s">
        <v>794</v>
      </c>
      <c r="B21" s="49" t="s">
        <v>33</v>
      </c>
      <c r="C21" s="49" t="s">
        <v>33</v>
      </c>
      <c r="D21" s="82" t="s">
        <v>25</v>
      </c>
      <c r="E21" s="82" t="s">
        <v>25</v>
      </c>
      <c r="F21" s="82" t="s">
        <v>25</v>
      </c>
      <c r="G21" s="49" t="s">
        <v>33</v>
      </c>
      <c r="H21" s="49" t="s">
        <v>33</v>
      </c>
      <c r="I21" s="49" t="s">
        <v>33</v>
      </c>
      <c r="J21" s="82" t="s">
        <v>25</v>
      </c>
      <c r="K21" s="49" t="s">
        <v>33</v>
      </c>
      <c r="L21" s="82" t="s">
        <v>25</v>
      </c>
      <c r="M21" s="49" t="s">
        <v>33</v>
      </c>
      <c r="N21" s="82" t="s">
        <v>25</v>
      </c>
      <c r="O21" s="64" t="s">
        <v>25</v>
      </c>
      <c r="P21" s="82">
        <f t="shared" si="0"/>
        <v>7</v>
      </c>
      <c r="Q21" s="83">
        <f t="shared" si="1"/>
        <v>0.5</v>
      </c>
      <c r="R21" s="4" t="s">
        <v>26</v>
      </c>
      <c r="S21" t="s">
        <v>779</v>
      </c>
      <c r="T21" s="74" t="s">
        <v>34</v>
      </c>
      <c r="U21" s="59" t="s">
        <v>312</v>
      </c>
      <c r="V21" s="48" t="s">
        <v>352</v>
      </c>
      <c r="W21" s="48" t="s">
        <v>499</v>
      </c>
      <c r="X21" s="48" t="s">
        <v>192</v>
      </c>
      <c r="Y21" t="s">
        <v>1237</v>
      </c>
      <c r="AD21" t="s">
        <v>899</v>
      </c>
      <c r="AG21" t="s">
        <v>884</v>
      </c>
      <c r="AM21" t="s">
        <v>881</v>
      </c>
    </row>
    <row r="22" spans="1:40" ht="14.45" customHeight="1">
      <c r="A22" s="81" t="s">
        <v>795</v>
      </c>
      <c r="B22" s="49" t="s">
        <v>33</v>
      </c>
      <c r="C22" s="49" t="s">
        <v>33</v>
      </c>
      <c r="D22" s="82" t="s">
        <v>25</v>
      </c>
      <c r="E22" s="82" t="s">
        <v>25</v>
      </c>
      <c r="F22" s="49" t="s">
        <v>33</v>
      </c>
      <c r="G22" s="49" t="s">
        <v>33</v>
      </c>
      <c r="H22" s="49" t="s">
        <v>33</v>
      </c>
      <c r="I22" s="49" t="s">
        <v>33</v>
      </c>
      <c r="J22" s="82" t="s">
        <v>25</v>
      </c>
      <c r="K22" s="49" t="s">
        <v>33</v>
      </c>
      <c r="L22" s="82" t="s">
        <v>25</v>
      </c>
      <c r="M22" s="49" t="s">
        <v>33</v>
      </c>
      <c r="N22" s="82" t="s">
        <v>25</v>
      </c>
      <c r="O22" s="64" t="s">
        <v>25</v>
      </c>
      <c r="P22" s="82">
        <f t="shared" si="0"/>
        <v>6</v>
      </c>
      <c r="Q22" s="83">
        <f t="shared" si="1"/>
        <v>0.42857142857142855</v>
      </c>
      <c r="R22" s="4" t="s">
        <v>26</v>
      </c>
      <c r="S22" t="s">
        <v>779</v>
      </c>
      <c r="T22" s="74" t="s">
        <v>34</v>
      </c>
      <c r="U22" s="59" t="s">
        <v>312</v>
      </c>
      <c r="V22" s="48" t="s">
        <v>373</v>
      </c>
      <c r="W22" s="48" t="s">
        <v>534</v>
      </c>
      <c r="X22" s="48" t="s">
        <v>192</v>
      </c>
      <c r="Y22" t="s">
        <v>1238</v>
      </c>
      <c r="AD22" t="s">
        <v>899</v>
      </c>
      <c r="AG22" t="s">
        <v>884</v>
      </c>
      <c r="AM22" t="s">
        <v>881</v>
      </c>
    </row>
    <row r="23" spans="1:40" ht="14.45" customHeight="1">
      <c r="A23" s="81" t="s">
        <v>796</v>
      </c>
      <c r="B23" s="49" t="s">
        <v>33</v>
      </c>
      <c r="C23" s="49" t="s">
        <v>33</v>
      </c>
      <c r="D23" s="49" t="s">
        <v>33</v>
      </c>
      <c r="E23" s="49" t="s">
        <v>33</v>
      </c>
      <c r="F23" s="82" t="s">
        <v>25</v>
      </c>
      <c r="G23" s="49" t="s">
        <v>33</v>
      </c>
      <c r="H23" s="49" t="s">
        <v>33</v>
      </c>
      <c r="I23" s="49" t="s">
        <v>33</v>
      </c>
      <c r="J23" s="49" t="s">
        <v>33</v>
      </c>
      <c r="K23" s="82" t="s">
        <v>25</v>
      </c>
      <c r="L23" s="49" t="s">
        <v>33</v>
      </c>
      <c r="M23" s="49" t="s">
        <v>33</v>
      </c>
      <c r="N23" s="82" t="s">
        <v>25</v>
      </c>
      <c r="O23" s="64" t="s">
        <v>25</v>
      </c>
      <c r="P23" s="82">
        <f t="shared" si="0"/>
        <v>4</v>
      </c>
      <c r="Q23" s="83">
        <f t="shared" si="1"/>
        <v>0.2857142857142857</v>
      </c>
      <c r="R23" s="4" t="s">
        <v>26</v>
      </c>
      <c r="S23" t="s">
        <v>779</v>
      </c>
      <c r="T23" s="74" t="s">
        <v>34</v>
      </c>
      <c r="U23" s="59" t="s">
        <v>312</v>
      </c>
      <c r="V23" s="48" t="s">
        <v>538</v>
      </c>
      <c r="W23" s="48" t="s">
        <v>499</v>
      </c>
      <c r="X23" s="48" t="s">
        <v>192</v>
      </c>
      <c r="Y23" t="s">
        <v>1239</v>
      </c>
      <c r="AD23" t="s">
        <v>899</v>
      </c>
      <c r="AG23" t="s">
        <v>884</v>
      </c>
      <c r="AM23" t="s">
        <v>881</v>
      </c>
    </row>
    <row r="24" spans="1:40" ht="14.45" customHeight="1">
      <c r="A24" s="81" t="s">
        <v>797</v>
      </c>
      <c r="B24" s="49" t="s">
        <v>33</v>
      </c>
      <c r="C24" s="49" t="s">
        <v>33</v>
      </c>
      <c r="D24" s="82" t="s">
        <v>25</v>
      </c>
      <c r="E24" s="82" t="s">
        <v>25</v>
      </c>
      <c r="F24" s="49" t="s">
        <v>33</v>
      </c>
      <c r="G24" s="49" t="s">
        <v>33</v>
      </c>
      <c r="H24" s="49" t="s">
        <v>33</v>
      </c>
      <c r="I24" s="49" t="s">
        <v>33</v>
      </c>
      <c r="J24" s="49" t="s">
        <v>33</v>
      </c>
      <c r="K24" s="49" t="s">
        <v>33</v>
      </c>
      <c r="L24" s="49" t="s">
        <v>33</v>
      </c>
      <c r="M24" s="49" t="s">
        <v>33</v>
      </c>
      <c r="N24" s="49" t="s">
        <v>33</v>
      </c>
      <c r="O24" s="5" t="s">
        <v>33</v>
      </c>
      <c r="P24" s="82">
        <f t="shared" si="0"/>
        <v>2</v>
      </c>
      <c r="Q24" s="83">
        <f t="shared" si="1"/>
        <v>0.14285714285714285</v>
      </c>
      <c r="R24" s="4" t="s">
        <v>26</v>
      </c>
      <c r="S24" t="s">
        <v>779</v>
      </c>
      <c r="T24" s="74" t="s">
        <v>34</v>
      </c>
      <c r="U24" s="59" t="s">
        <v>29</v>
      </c>
      <c r="V24" s="48" t="s">
        <v>60</v>
      </c>
      <c r="W24" s="48" t="s">
        <v>378</v>
      </c>
      <c r="X24" s="48" t="s">
        <v>379</v>
      </c>
      <c r="Y24" t="s">
        <v>1240</v>
      </c>
      <c r="AD24" t="s">
        <v>950</v>
      </c>
      <c r="AG24" t="s">
        <v>884</v>
      </c>
      <c r="AM24" t="s">
        <v>881</v>
      </c>
    </row>
    <row r="25" spans="1:40" ht="14.45" customHeight="1">
      <c r="A25" s="57" t="s">
        <v>798</v>
      </c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5"/>
      <c r="R25" s="65"/>
      <c r="S25" s="66"/>
      <c r="T25" s="75"/>
      <c r="U25" s="60"/>
      <c r="V25" s="58"/>
      <c r="W25" s="58"/>
      <c r="X25" s="58"/>
    </row>
    <row r="26" spans="1:40" ht="14.45" customHeight="1">
      <c r="A26" s="81" t="s">
        <v>799</v>
      </c>
      <c r="B26" s="49" t="s">
        <v>33</v>
      </c>
      <c r="C26" s="82" t="s">
        <v>25</v>
      </c>
      <c r="D26" s="49" t="s">
        <v>33</v>
      </c>
      <c r="E26" s="82" t="s">
        <v>25</v>
      </c>
      <c r="F26" s="82" t="s">
        <v>25</v>
      </c>
      <c r="G26" s="49" t="s">
        <v>33</v>
      </c>
      <c r="H26" s="49" t="s">
        <v>33</v>
      </c>
      <c r="I26" s="49" t="s">
        <v>33</v>
      </c>
      <c r="J26" s="49" t="s">
        <v>33</v>
      </c>
      <c r="K26" s="82" t="s">
        <v>25</v>
      </c>
      <c r="L26" s="49" t="s">
        <v>33</v>
      </c>
      <c r="M26" s="49" t="s">
        <v>33</v>
      </c>
      <c r="N26" s="82" t="s">
        <v>25</v>
      </c>
      <c r="O26" s="64" t="s">
        <v>25</v>
      </c>
      <c r="P26" s="82">
        <f>COUNTIF(B26:O26,"✔")</f>
        <v>6</v>
      </c>
      <c r="Q26" s="83">
        <f>P26/14</f>
        <v>0.42857142857142855</v>
      </c>
      <c r="R26" s="4" t="s">
        <v>26</v>
      </c>
      <c r="S26" t="s">
        <v>779</v>
      </c>
      <c r="T26" s="82" t="s">
        <v>33</v>
      </c>
      <c r="U26" s="86" t="s">
        <v>33</v>
      </c>
      <c r="V26" s="86"/>
      <c r="W26" s="86"/>
      <c r="X26" s="86"/>
      <c r="Y26" t="s">
        <v>1241</v>
      </c>
      <c r="AM26" t="s">
        <v>931</v>
      </c>
    </row>
    <row r="27" spans="1:40" ht="14.45" customHeight="1">
      <c r="A27" s="81" t="s">
        <v>800</v>
      </c>
      <c r="B27" s="49" t="s">
        <v>33</v>
      </c>
      <c r="C27" s="49" t="s">
        <v>33</v>
      </c>
      <c r="D27" s="49" t="s">
        <v>33</v>
      </c>
      <c r="E27" s="49" t="s">
        <v>33</v>
      </c>
      <c r="F27" s="49" t="s">
        <v>33</v>
      </c>
      <c r="G27" s="49" t="s">
        <v>33</v>
      </c>
      <c r="H27" s="49" t="s">
        <v>33</v>
      </c>
      <c r="I27" s="49" t="s">
        <v>33</v>
      </c>
      <c r="J27" s="49" t="s">
        <v>33</v>
      </c>
      <c r="K27" s="82" t="s">
        <v>25</v>
      </c>
      <c r="L27" s="82" t="s">
        <v>25</v>
      </c>
      <c r="M27" s="49" t="s">
        <v>33</v>
      </c>
      <c r="N27" s="82" t="s">
        <v>25</v>
      </c>
      <c r="O27" s="64" t="s">
        <v>25</v>
      </c>
      <c r="P27" s="82">
        <f>COUNTIF(B27:O27,"✔")</f>
        <v>4</v>
      </c>
      <c r="Q27" s="83">
        <f>P27/14</f>
        <v>0.2857142857142857</v>
      </c>
      <c r="R27" s="4" t="s">
        <v>26</v>
      </c>
      <c r="S27" t="s">
        <v>779</v>
      </c>
      <c r="T27" s="82" t="s">
        <v>33</v>
      </c>
      <c r="U27" s="86" t="s">
        <v>33</v>
      </c>
      <c r="V27" s="86"/>
      <c r="W27" s="86"/>
      <c r="X27" s="86"/>
      <c r="Y27" t="s">
        <v>1242</v>
      </c>
      <c r="AM27" t="s">
        <v>931</v>
      </c>
    </row>
    <row r="28" spans="1:40" ht="14.45" customHeight="1">
      <c r="A28" s="81" t="s">
        <v>801</v>
      </c>
      <c r="B28" s="49" t="s">
        <v>33</v>
      </c>
      <c r="C28" s="49" t="s">
        <v>33</v>
      </c>
      <c r="D28" s="49" t="s">
        <v>33</v>
      </c>
      <c r="E28" s="49" t="s">
        <v>33</v>
      </c>
      <c r="F28" s="49" t="s">
        <v>33</v>
      </c>
      <c r="G28" s="49" t="s">
        <v>33</v>
      </c>
      <c r="H28" s="49" t="s">
        <v>33</v>
      </c>
      <c r="I28" s="82" t="s">
        <v>25</v>
      </c>
      <c r="J28" s="82" t="s">
        <v>25</v>
      </c>
      <c r="K28" s="49" t="s">
        <v>33</v>
      </c>
      <c r="L28" s="49" t="s">
        <v>33</v>
      </c>
      <c r="M28" s="49" t="s">
        <v>33</v>
      </c>
      <c r="N28" s="49" t="s">
        <v>33</v>
      </c>
      <c r="O28" s="5" t="s">
        <v>33</v>
      </c>
      <c r="P28" s="82">
        <f>COUNTIF(B28:O28,"✔")</f>
        <v>2</v>
      </c>
      <c r="Q28" s="83">
        <f>P28/14</f>
        <v>0.14285714285714285</v>
      </c>
      <c r="R28" s="4" t="s">
        <v>26</v>
      </c>
      <c r="S28" t="s">
        <v>779</v>
      </c>
      <c r="T28" s="82" t="s">
        <v>33</v>
      </c>
      <c r="U28" s="86" t="s">
        <v>33</v>
      </c>
      <c r="V28" s="86"/>
      <c r="W28" s="86"/>
      <c r="X28" s="86"/>
      <c r="Y28" t="s">
        <v>1243</v>
      </c>
      <c r="AM28" t="s">
        <v>931</v>
      </c>
    </row>
    <row r="29" spans="1:40" ht="14.45" customHeight="1">
      <c r="A29" s="81" t="s">
        <v>802</v>
      </c>
      <c r="B29" s="49" t="s">
        <v>33</v>
      </c>
      <c r="C29" s="82" t="s">
        <v>25</v>
      </c>
      <c r="D29" s="49" t="s">
        <v>33</v>
      </c>
      <c r="E29" s="49" t="s">
        <v>33</v>
      </c>
      <c r="F29" s="49" t="s">
        <v>33</v>
      </c>
      <c r="G29" s="49" t="s">
        <v>33</v>
      </c>
      <c r="H29" s="49" t="s">
        <v>33</v>
      </c>
      <c r="I29" s="49" t="s">
        <v>33</v>
      </c>
      <c r="J29" s="49" t="s">
        <v>33</v>
      </c>
      <c r="K29" s="82" t="s">
        <v>25</v>
      </c>
      <c r="L29" s="49" t="s">
        <v>33</v>
      </c>
      <c r="M29" s="49" t="s">
        <v>33</v>
      </c>
      <c r="N29" s="49" t="s">
        <v>33</v>
      </c>
      <c r="O29" s="64" t="s">
        <v>33</v>
      </c>
      <c r="P29" s="82">
        <f>COUNTIF(B29:O29,"✔")</f>
        <v>2</v>
      </c>
      <c r="Q29" s="83">
        <f>P29/14</f>
        <v>0.14285714285714285</v>
      </c>
      <c r="R29" s="4" t="s">
        <v>26</v>
      </c>
      <c r="S29" t="s">
        <v>779</v>
      </c>
      <c r="T29" s="82" t="s">
        <v>33</v>
      </c>
      <c r="U29" s="86" t="s">
        <v>33</v>
      </c>
      <c r="V29" s="86"/>
      <c r="W29" s="86"/>
      <c r="X29" s="86"/>
      <c r="Y29" t="s">
        <v>1244</v>
      </c>
      <c r="AM29" t="s">
        <v>931</v>
      </c>
    </row>
    <row r="30" spans="1:40" ht="14.45" customHeight="1">
      <c r="A30" s="81" t="s">
        <v>803</v>
      </c>
      <c r="B30" s="49" t="s">
        <v>33</v>
      </c>
      <c r="C30" s="49" t="s">
        <v>33</v>
      </c>
      <c r="D30" s="49" t="s">
        <v>33</v>
      </c>
      <c r="E30" s="49" t="s">
        <v>33</v>
      </c>
      <c r="F30" s="49" t="s">
        <v>33</v>
      </c>
      <c r="G30" s="49" t="s">
        <v>33</v>
      </c>
      <c r="H30" s="49" t="s">
        <v>33</v>
      </c>
      <c r="I30" s="49" t="s">
        <v>33</v>
      </c>
      <c r="J30" s="82" t="s">
        <v>25</v>
      </c>
      <c r="K30" s="82" t="s">
        <v>25</v>
      </c>
      <c r="L30" s="49" t="s">
        <v>33</v>
      </c>
      <c r="M30" s="49" t="s">
        <v>33</v>
      </c>
      <c r="N30" s="49" t="s">
        <v>33</v>
      </c>
      <c r="O30" s="5" t="s">
        <v>33</v>
      </c>
      <c r="P30" s="82">
        <f>COUNTIF(B30:O30,"✔")</f>
        <v>2</v>
      </c>
      <c r="Q30" s="83">
        <f>P30/14</f>
        <v>0.14285714285714285</v>
      </c>
      <c r="R30" s="4" t="s">
        <v>26</v>
      </c>
      <c r="S30" t="s">
        <v>779</v>
      </c>
      <c r="T30" s="82" t="s">
        <v>33</v>
      </c>
      <c r="U30" s="86" t="s">
        <v>33</v>
      </c>
      <c r="V30" s="86"/>
      <c r="W30" s="86"/>
      <c r="X30" s="86"/>
      <c r="Y30" t="s">
        <v>1245</v>
      </c>
      <c r="AM30" t="s">
        <v>931</v>
      </c>
    </row>
    <row r="31" spans="1:40" ht="14.45" customHeight="1">
      <c r="A31" s="57" t="s">
        <v>804</v>
      </c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5"/>
      <c r="R31" s="65"/>
      <c r="S31" s="66"/>
      <c r="T31" s="75"/>
      <c r="U31" s="60"/>
      <c r="V31" s="58" t="s">
        <v>35</v>
      </c>
      <c r="W31" s="58"/>
      <c r="X31" s="58"/>
    </row>
    <row r="32" spans="1:40" ht="14.45" customHeight="1">
      <c r="A32" s="81" t="s">
        <v>805</v>
      </c>
      <c r="B32" s="82" t="s">
        <v>25</v>
      </c>
      <c r="C32" s="82" t="s">
        <v>25</v>
      </c>
      <c r="D32" s="49" t="s">
        <v>33</v>
      </c>
      <c r="E32" s="82" t="s">
        <v>25</v>
      </c>
      <c r="F32" s="49" t="s">
        <v>33</v>
      </c>
      <c r="G32" s="49" t="s">
        <v>33</v>
      </c>
      <c r="H32" s="49" t="s">
        <v>33</v>
      </c>
      <c r="I32" s="49" t="s">
        <v>33</v>
      </c>
      <c r="J32" s="82" t="s">
        <v>25</v>
      </c>
      <c r="K32" s="49" t="s">
        <v>33</v>
      </c>
      <c r="L32" s="49" t="s">
        <v>33</v>
      </c>
      <c r="M32" s="49" t="s">
        <v>33</v>
      </c>
      <c r="N32" s="82" t="s">
        <v>25</v>
      </c>
      <c r="O32" s="64" t="s">
        <v>25</v>
      </c>
      <c r="P32" s="82">
        <f>COUNTIF(B32:O32,"✔")</f>
        <v>6</v>
      </c>
      <c r="Q32" s="83">
        <f>P32/14</f>
        <v>0.42857142857142855</v>
      </c>
      <c r="R32" s="4" t="s">
        <v>26</v>
      </c>
      <c r="S32" t="s">
        <v>806</v>
      </c>
      <c r="T32" s="74" t="s">
        <v>34</v>
      </c>
      <c r="U32" s="59" t="s">
        <v>29</v>
      </c>
      <c r="V32" s="48" t="s">
        <v>35</v>
      </c>
      <c r="W32" s="48" t="s">
        <v>142</v>
      </c>
      <c r="X32" s="48" t="s">
        <v>143</v>
      </c>
      <c r="Y32" t="s">
        <v>1246</v>
      </c>
      <c r="AD32" t="s">
        <v>879</v>
      </c>
      <c r="AG32" t="s">
        <v>884</v>
      </c>
      <c r="AM32" t="s">
        <v>916</v>
      </c>
      <c r="AN32" t="s">
        <v>142</v>
      </c>
    </row>
    <row r="33" spans="1:40" ht="14.45" customHeight="1">
      <c r="A33" s="81" t="s">
        <v>807</v>
      </c>
      <c r="B33" s="49" t="s">
        <v>33</v>
      </c>
      <c r="C33" s="82" t="s">
        <v>25</v>
      </c>
      <c r="D33" s="49" t="s">
        <v>33</v>
      </c>
      <c r="E33" s="82" t="s">
        <v>25</v>
      </c>
      <c r="F33" s="49" t="s">
        <v>33</v>
      </c>
      <c r="G33" s="49" t="s">
        <v>33</v>
      </c>
      <c r="H33" s="49" t="s">
        <v>33</v>
      </c>
      <c r="I33" s="49" t="s">
        <v>33</v>
      </c>
      <c r="J33" s="82" t="s">
        <v>25</v>
      </c>
      <c r="K33" s="49" t="s">
        <v>33</v>
      </c>
      <c r="L33" s="49" t="s">
        <v>33</v>
      </c>
      <c r="M33" s="49" t="s">
        <v>33</v>
      </c>
      <c r="N33" s="82" t="s">
        <v>25</v>
      </c>
      <c r="O33" s="64" t="s">
        <v>25</v>
      </c>
      <c r="P33" s="82">
        <f>COUNTIF(B33:O33,"✔")</f>
        <v>5</v>
      </c>
      <c r="Q33" s="83">
        <f>P33/14</f>
        <v>0.35714285714285715</v>
      </c>
      <c r="R33" s="4" t="s">
        <v>26</v>
      </c>
      <c r="S33" t="s">
        <v>806</v>
      </c>
      <c r="T33" s="74" t="s">
        <v>34</v>
      </c>
      <c r="U33" s="59" t="s">
        <v>29</v>
      </c>
      <c r="V33" s="48" t="s">
        <v>35</v>
      </c>
      <c r="W33" s="48" t="s">
        <v>142</v>
      </c>
      <c r="X33" s="48" t="s">
        <v>143</v>
      </c>
      <c r="Y33" t="s">
        <v>1247</v>
      </c>
      <c r="AD33" t="s">
        <v>879</v>
      </c>
      <c r="AG33" t="s">
        <v>884</v>
      </c>
      <c r="AM33" t="s">
        <v>916</v>
      </c>
      <c r="AN33" t="s">
        <v>142</v>
      </c>
    </row>
    <row r="34" spans="1:40" ht="14.45" customHeight="1">
      <c r="A34" s="57" t="s">
        <v>808</v>
      </c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5"/>
      <c r="R34" s="65"/>
      <c r="S34" s="66"/>
      <c r="T34" s="75"/>
      <c r="U34" s="60"/>
      <c r="V34" s="58"/>
      <c r="W34" s="58"/>
      <c r="X34" s="58"/>
    </row>
    <row r="35" spans="1:40" ht="14.45" customHeight="1">
      <c r="A35" s="81" t="s">
        <v>809</v>
      </c>
      <c r="B35" s="49" t="s">
        <v>33</v>
      </c>
      <c r="C35" s="82" t="s">
        <v>25</v>
      </c>
      <c r="D35" s="49" t="s">
        <v>33</v>
      </c>
      <c r="E35" s="49" t="s">
        <v>33</v>
      </c>
      <c r="F35" s="49" t="s">
        <v>33</v>
      </c>
      <c r="G35" s="49" t="s">
        <v>33</v>
      </c>
      <c r="H35" s="49" t="s">
        <v>33</v>
      </c>
      <c r="I35" s="49" t="s">
        <v>33</v>
      </c>
      <c r="J35" s="49" t="s">
        <v>33</v>
      </c>
      <c r="K35" s="49" t="s">
        <v>33</v>
      </c>
      <c r="L35" s="82" t="s">
        <v>25</v>
      </c>
      <c r="M35" s="82" t="s">
        <v>25</v>
      </c>
      <c r="N35" s="82" t="s">
        <v>25</v>
      </c>
      <c r="O35" s="64" t="s">
        <v>25</v>
      </c>
      <c r="P35" s="82">
        <f>COUNTIF(B35:O35,"✔")</f>
        <v>5</v>
      </c>
      <c r="Q35" s="83">
        <f>P35/14</f>
        <v>0.35714285714285715</v>
      </c>
      <c r="R35" s="4" t="s">
        <v>26</v>
      </c>
      <c r="S35" t="s">
        <v>779</v>
      </c>
      <c r="T35" s="74" t="s">
        <v>34</v>
      </c>
      <c r="U35" s="59" t="s">
        <v>29</v>
      </c>
      <c r="V35" s="48" t="s">
        <v>35</v>
      </c>
      <c r="W35" s="48" t="s">
        <v>142</v>
      </c>
      <c r="X35" s="48" t="s">
        <v>143</v>
      </c>
      <c r="Y35" t="s">
        <v>1248</v>
      </c>
      <c r="AD35" t="s">
        <v>879</v>
      </c>
      <c r="AG35" t="s">
        <v>884</v>
      </c>
      <c r="AM35" t="s">
        <v>916</v>
      </c>
      <c r="AN35" t="s">
        <v>142</v>
      </c>
    </row>
    <row r="36" spans="1:40" ht="14.45" customHeight="1">
      <c r="A36" s="81" t="s">
        <v>810</v>
      </c>
      <c r="B36" s="49" t="s">
        <v>33</v>
      </c>
      <c r="C36" s="82" t="s">
        <v>25</v>
      </c>
      <c r="D36" s="49" t="s">
        <v>33</v>
      </c>
      <c r="E36" s="49" t="s">
        <v>33</v>
      </c>
      <c r="F36" s="49" t="s">
        <v>33</v>
      </c>
      <c r="G36" s="49" t="s">
        <v>33</v>
      </c>
      <c r="H36" s="49" t="s">
        <v>33</v>
      </c>
      <c r="I36" s="82" t="s">
        <v>25</v>
      </c>
      <c r="J36" s="49" t="s">
        <v>33</v>
      </c>
      <c r="K36" s="49" t="s">
        <v>33</v>
      </c>
      <c r="L36" s="49" t="s">
        <v>33</v>
      </c>
      <c r="M36" s="49" t="s">
        <v>33</v>
      </c>
      <c r="N36" s="49" t="s">
        <v>33</v>
      </c>
      <c r="O36" s="5" t="s">
        <v>33</v>
      </c>
      <c r="P36" s="82">
        <f>COUNTIF(B36:O36,"✔")</f>
        <v>2</v>
      </c>
      <c r="Q36" s="83">
        <f>P36/14</f>
        <v>0.14285714285714285</v>
      </c>
      <c r="R36" s="4" t="s">
        <v>26</v>
      </c>
      <c r="S36" t="s">
        <v>779</v>
      </c>
      <c r="T36" s="74" t="s">
        <v>34</v>
      </c>
      <c r="U36" s="59" t="s">
        <v>29</v>
      </c>
      <c r="V36" s="48" t="s">
        <v>35</v>
      </c>
      <c r="W36" s="48" t="s">
        <v>142</v>
      </c>
      <c r="X36" s="48" t="s">
        <v>143</v>
      </c>
      <c r="Y36" t="s">
        <v>1249</v>
      </c>
      <c r="AD36" t="s">
        <v>879</v>
      </c>
      <c r="AG36" t="s">
        <v>884</v>
      </c>
      <c r="AM36" t="s">
        <v>916</v>
      </c>
      <c r="AN36" t="s">
        <v>142</v>
      </c>
    </row>
    <row r="37" spans="1:40" ht="14.45" customHeight="1">
      <c r="A37" s="81" t="s">
        <v>811</v>
      </c>
      <c r="B37" s="49" t="s">
        <v>33</v>
      </c>
      <c r="C37" s="82" t="s">
        <v>25</v>
      </c>
      <c r="D37" s="49" t="s">
        <v>33</v>
      </c>
      <c r="E37" s="49" t="s">
        <v>33</v>
      </c>
      <c r="F37" s="49" t="s">
        <v>33</v>
      </c>
      <c r="G37" s="49" t="s">
        <v>33</v>
      </c>
      <c r="H37" s="49" t="s">
        <v>33</v>
      </c>
      <c r="I37" s="49" t="s">
        <v>33</v>
      </c>
      <c r="J37" s="49" t="s">
        <v>33</v>
      </c>
      <c r="K37" s="49" t="s">
        <v>33</v>
      </c>
      <c r="L37" s="49" t="s">
        <v>33</v>
      </c>
      <c r="M37" s="49" t="s">
        <v>33</v>
      </c>
      <c r="N37" s="82" t="s">
        <v>25</v>
      </c>
      <c r="O37" s="5" t="s">
        <v>25</v>
      </c>
      <c r="P37" s="82">
        <f>COUNTIF(B37:O37,"✔")</f>
        <v>3</v>
      </c>
      <c r="Q37" s="83">
        <f>P37/14</f>
        <v>0.21428571428571427</v>
      </c>
      <c r="R37" s="4" t="s">
        <v>26</v>
      </c>
      <c r="S37" t="s">
        <v>779</v>
      </c>
      <c r="T37" s="74" t="s">
        <v>34</v>
      </c>
      <c r="U37" s="59" t="s">
        <v>29</v>
      </c>
      <c r="V37" s="48" t="s">
        <v>35</v>
      </c>
      <c r="W37" s="48" t="s">
        <v>142</v>
      </c>
      <c r="X37" s="48" t="s">
        <v>143</v>
      </c>
      <c r="Y37" t="s">
        <v>1250</v>
      </c>
      <c r="AD37" t="s">
        <v>879</v>
      </c>
      <c r="AG37" t="s">
        <v>884</v>
      </c>
      <c r="AM37" t="s">
        <v>916</v>
      </c>
      <c r="AN37" t="s">
        <v>142</v>
      </c>
    </row>
  </sheetData>
  <dataValidations count="7">
    <dataValidation type="list" allowBlank="1" showInputMessage="1" sqref="AA2:AA37" xr:uid="{9B82C1A5-2B1C-446D-ADE6-1C976CBB0DF7}">
      <mc:AlternateContent xmlns:x12ac="http://schemas.microsoft.com/office/spreadsheetml/2011/1/ac" xmlns:mc="http://schemas.openxmlformats.org/markup-compatibility/2006">
        <mc:Choice Requires="x12ac">
          <x12ac:list>"Mandatory,Optional,Out of scope,N/A"</x12ac:list>
        </mc:Choice>
        <mc:Fallback>
          <formula1>"Mandatory,Optional,Out of scope,N/A"</formula1>
        </mc:Fallback>
      </mc:AlternateContent>
    </dataValidation>
    <dataValidation type="list" allowBlank="1" showInputMessage="1" sqref="AD2:AD37" xr:uid="{62D13097-7A0E-4497-B824-76B306A563BF}">
      <mc:AlternateContent xmlns:x12ac="http://schemas.microsoft.com/office/spreadsheetml/2011/1/ac" xmlns:mc="http://schemas.openxmlformats.org/markup-compatibility/2006">
        <mc:Choice Requires="x12ac">
          <x12ac:list>"numeric,categorical,boolean,date,text,document,geometry,time series,reference,composite"</x12ac:list>
        </mc:Choice>
        <mc:Fallback>
          <formula1>"numeric,categorical,boolean,date,text,document,geometry,time series,reference,composite"</formula1>
        </mc:Fallback>
      </mc:AlternateContent>
    </dataValidation>
    <dataValidation type="list" allowBlank="1" showInputMessage="1" sqref="AG2:AG37" xr:uid="{A9BF3DC3-51E8-4D67-A3C1-F8A1146B28CB}">
      <mc:AlternateContent xmlns:x12ac="http://schemas.microsoft.com/office/spreadsheetml/2011/1/ac" xmlns:mc="http://schemas.openxmlformats.org/markup-compatibility/2006">
        <mc:Choice Requires="x12ac">
          <x12ac:list>"building,unit,zone,component,site / context,any level"</x12ac:list>
        </mc:Choice>
        <mc:Fallback>
          <formula1>"building,unit,zone,component,site / context,any level"</formula1>
        </mc:Fallback>
      </mc:AlternateContent>
    </dataValidation>
    <dataValidation type="list" allowBlank="1" showInputMessage="1" sqref="AH2:AH37" xr:uid="{E95DE1C0-B8E5-485C-86D6-60A252CF3794}">
      <mc:AlternateContent xmlns:x12ac="http://schemas.microsoft.com/office/spreadsheetml/2011/1/ac" xmlns:mc="http://schemas.openxmlformats.org/markup-compatibility/2006">
        <mc:Choice Requires="x12ac">
          <x12ac:list>"static,historical,periodic,real-time"</x12ac:list>
        </mc:Choice>
        <mc:Fallback>
          <formula1>"static,historical,periodic,real-time"</formula1>
        </mc:Fallback>
      </mc:AlternateContent>
    </dataValidation>
    <dataValidation type="list" allowBlank="1" showInputMessage="1" sqref="AI2:AI37" xr:uid="{E7973B3B-1670-4720-8BF0-D36C397E3573}">
      <mc:AlternateContent xmlns:x12ac="http://schemas.microsoft.com/office/spreadsheetml/2011/1/ac" xmlns:mc="http://schemas.openxmlformats.org/markup-compatibility/2006">
        <mc:Choice Requires="x12ac">
          <x12ac:list>"Public,Restricted,Personal data (GDPR),Commercially sensitive"</x12ac:list>
        </mc:Choice>
        <mc:Fallback>
          <formula1>"Public,Restricted,Personal data (GDPR),Commercially sensitive"</formula1>
        </mc:Fallback>
      </mc:AlternateContent>
    </dataValidation>
    <dataValidation type="list" allowBlank="1" showInputMessage="1" sqref="AL2:AL37" xr:uid="{9B85FB0A-E0C6-4024-96AF-6B8A878B11FE}">
      <mc:AlternateContent xmlns:x12ac="http://schemas.microsoft.com/office/spreadsheetml/2011/1/ac" xmlns:mc="http://schemas.openxmlformats.org/markup-compatibility/2006">
        <mc:Choice Requires="x12ac">
          <x12ac:list>"open data,API,manual input,inspection,derived"</x12ac:list>
        </mc:Choice>
        <mc:Fallback>
          <formula1>"open data,API,manual input,inspection,derived"</formula1>
        </mc:Fallback>
      </mc:AlternateContent>
    </dataValidation>
    <dataValidation type="list" allowBlank="1" showInputMessage="1" sqref="AM2:AM37" xr:uid="{8CDAB9EE-2864-4700-8A1C-97B104D70F87}">
      <mc:AlternateContent xmlns:x12ac="http://schemas.microsoft.com/office/spreadsheetml/2011/1/ac" xmlns:mc="http://schemas.openxmlformats.org/markup-compatibility/2006">
        <mc:Choice Requires="x12ac">
          <x12ac:list>"Native,Workaround,Extension needed,Out of scope,N/A"</x12ac:list>
        </mc:Choice>
        <mc:Fallback>
          <formula1>"Native,Workaround,Extension needed,Out of scope,N/A"</formula1>
        </mc:Fallback>
      </mc:AlternateContent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AA441-1550-4E93-A57C-59630AD10FA6}">
  <dimension ref="A1:E17"/>
  <sheetViews>
    <sheetView workbookViewId="0"/>
  </sheetViews>
  <sheetFormatPr defaultRowHeight="15"/>
  <cols>
    <col min="1" max="1" width="16.7109375" customWidth="1"/>
    <col min="2" max="2" width="20.7109375" customWidth="1"/>
    <col min="3" max="4" width="60.7109375" customWidth="1"/>
    <col min="5" max="5" width="40.7109375" customWidth="1"/>
  </cols>
  <sheetData>
    <row r="1" spans="1:5">
      <c r="A1" s="89" t="s">
        <v>1251</v>
      </c>
      <c r="B1" s="89" t="s">
        <v>1252</v>
      </c>
      <c r="C1" s="89" t="s">
        <v>863</v>
      </c>
      <c r="D1" s="89" t="s">
        <v>1253</v>
      </c>
      <c r="E1" s="89" t="s">
        <v>1254</v>
      </c>
    </row>
    <row r="2" spans="1:5">
      <c r="A2" t="s">
        <v>1255</v>
      </c>
      <c r="B2" t="s">
        <v>862</v>
      </c>
      <c r="C2" t="s">
        <v>1256</v>
      </c>
      <c r="D2" t="s">
        <v>1257</v>
      </c>
      <c r="E2" t="s">
        <v>1258</v>
      </c>
    </row>
    <row r="3" spans="1:5">
      <c r="A3" t="s">
        <v>1255</v>
      </c>
      <c r="B3" t="s">
        <v>863</v>
      </c>
      <c r="C3" t="s">
        <v>1259</v>
      </c>
      <c r="D3" t="s">
        <v>1260</v>
      </c>
      <c r="E3" t="s">
        <v>1261</v>
      </c>
    </row>
    <row r="4" spans="1:5">
      <c r="A4" t="s">
        <v>1262</v>
      </c>
      <c r="B4" t="s">
        <v>864</v>
      </c>
      <c r="C4" t="s">
        <v>1263</v>
      </c>
      <c r="D4" t="s">
        <v>1264</v>
      </c>
      <c r="E4" t="s">
        <v>1265</v>
      </c>
    </row>
    <row r="5" spans="1:5">
      <c r="A5" t="s">
        <v>1262</v>
      </c>
      <c r="B5" t="s">
        <v>865</v>
      </c>
      <c r="C5" t="s">
        <v>1266</v>
      </c>
      <c r="D5" t="s">
        <v>1267</v>
      </c>
      <c r="E5" t="s">
        <v>1261</v>
      </c>
    </row>
    <row r="6" spans="1:5">
      <c r="A6" t="s">
        <v>1262</v>
      </c>
      <c r="B6" t="s">
        <v>866</v>
      </c>
      <c r="C6" t="s">
        <v>1268</v>
      </c>
      <c r="D6" t="s">
        <v>1269</v>
      </c>
      <c r="E6" t="s">
        <v>1261</v>
      </c>
    </row>
    <row r="7" spans="1:5">
      <c r="A7" t="s">
        <v>1270</v>
      </c>
      <c r="B7" t="s">
        <v>867</v>
      </c>
      <c r="C7" t="s">
        <v>1271</v>
      </c>
      <c r="D7" t="s">
        <v>1272</v>
      </c>
      <c r="E7" t="s">
        <v>1273</v>
      </c>
    </row>
    <row r="8" spans="1:5">
      <c r="A8" t="s">
        <v>1270</v>
      </c>
      <c r="B8" t="s">
        <v>868</v>
      </c>
      <c r="C8" t="s">
        <v>1274</v>
      </c>
      <c r="D8" t="s">
        <v>1275</v>
      </c>
      <c r="E8" t="s">
        <v>1261</v>
      </c>
    </row>
    <row r="9" spans="1:5">
      <c r="A9" t="s">
        <v>1270</v>
      </c>
      <c r="B9" t="s">
        <v>869</v>
      </c>
      <c r="C9" t="s">
        <v>1276</v>
      </c>
      <c r="D9" t="s">
        <v>1277</v>
      </c>
      <c r="E9" t="s">
        <v>1261</v>
      </c>
    </row>
    <row r="10" spans="1:5">
      <c r="A10" t="s">
        <v>1270</v>
      </c>
      <c r="B10" t="s">
        <v>870</v>
      </c>
      <c r="C10" t="s">
        <v>1278</v>
      </c>
      <c r="D10" t="s">
        <v>1279</v>
      </c>
      <c r="E10" t="s">
        <v>1280</v>
      </c>
    </row>
    <row r="11" spans="1:5">
      <c r="A11" t="s">
        <v>1270</v>
      </c>
      <c r="B11" t="s">
        <v>871</v>
      </c>
      <c r="C11" t="s">
        <v>1281</v>
      </c>
      <c r="D11" t="s">
        <v>1282</v>
      </c>
      <c r="E11" t="s">
        <v>1283</v>
      </c>
    </row>
    <row r="12" spans="1:5">
      <c r="A12" t="s">
        <v>1284</v>
      </c>
      <c r="B12" t="s">
        <v>872</v>
      </c>
      <c r="C12" t="s">
        <v>1285</v>
      </c>
      <c r="D12" t="s">
        <v>1286</v>
      </c>
      <c r="E12" t="s">
        <v>1261</v>
      </c>
    </row>
    <row r="13" spans="1:5">
      <c r="A13" t="s">
        <v>1284</v>
      </c>
      <c r="B13" t="s">
        <v>873</v>
      </c>
      <c r="C13" t="s">
        <v>1287</v>
      </c>
      <c r="D13" t="s">
        <v>1288</v>
      </c>
      <c r="E13" t="s">
        <v>1261</v>
      </c>
    </row>
    <row r="14" spans="1:5">
      <c r="A14" t="s">
        <v>1284</v>
      </c>
      <c r="B14" t="s">
        <v>874</v>
      </c>
      <c r="C14" t="s">
        <v>1289</v>
      </c>
      <c r="D14" t="s">
        <v>1290</v>
      </c>
      <c r="E14" t="s">
        <v>1261</v>
      </c>
    </row>
    <row r="15" spans="1:5">
      <c r="A15" t="s">
        <v>1284</v>
      </c>
      <c r="B15" t="s">
        <v>875</v>
      </c>
      <c r="C15" t="s">
        <v>1291</v>
      </c>
      <c r="D15" t="s">
        <v>1292</v>
      </c>
      <c r="E15" t="s">
        <v>1261</v>
      </c>
    </row>
    <row r="16" spans="1:5">
      <c r="A16" t="s">
        <v>1293</v>
      </c>
      <c r="B16" t="s">
        <v>876</v>
      </c>
      <c r="C16" t="s">
        <v>1294</v>
      </c>
      <c r="D16" t="s">
        <v>1295</v>
      </c>
      <c r="E16" t="s">
        <v>1296</v>
      </c>
    </row>
    <row r="17" spans="1:5">
      <c r="A17" t="s">
        <v>1293</v>
      </c>
      <c r="B17" t="s">
        <v>877</v>
      </c>
      <c r="C17" t="s">
        <v>1297</v>
      </c>
      <c r="D17" t="s">
        <v>1298</v>
      </c>
      <c r="E17" t="s">
        <v>1299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M1</vt:lpstr>
      <vt:lpstr>M2</vt:lpstr>
      <vt:lpstr>M3.1</vt:lpstr>
      <vt:lpstr>M3.2</vt:lpstr>
      <vt:lpstr>M4</vt:lpstr>
      <vt:lpstr>M5</vt:lpstr>
      <vt:lpstr>M6</vt:lpstr>
      <vt:lpstr>M7</vt:lpstr>
      <vt:lpstr>M8</vt:lpstr>
      <vt:lpstr>M9</vt:lpstr>
      <vt:lpstr>M10</vt:lpstr>
      <vt:lpstr>M11.1</vt:lpstr>
      <vt:lpstr>M11.2</vt:lpstr>
      <vt:lpstr>M11.3</vt:lpstr>
      <vt:lpstr>M11.4</vt:lpstr>
      <vt:lpstr>M11.5</vt:lpstr>
      <vt:lpstr>M11.6</vt:lpstr>
      <vt:lpstr>M12.1</vt:lpstr>
      <vt:lpstr>M12.2</vt:lpstr>
      <vt:lpstr>M13</vt:lpstr>
      <vt:lpstr>Fields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Daan Schlosser</dc:creator>
  <cp:keywords/>
  <dc:description/>
  <cp:lastModifiedBy>Hiba Doi</cp:lastModifiedBy>
  <cp:revision/>
  <dcterms:created xsi:type="dcterms:W3CDTF">2026-02-16T15:38:49Z</dcterms:created>
  <dcterms:modified xsi:type="dcterms:W3CDTF">2026-10-06T09:02:50Z</dcterms:modified>
  <cp:category/>
  <cp:contentStatus/>
</cp:coreProperties>
</file>
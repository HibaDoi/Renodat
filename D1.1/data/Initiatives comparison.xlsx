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hdoi_tudelft_nl/Documents/RenoDAT_WP1_ressources/Tasks/Task_1_1/"/>
    </mc:Choice>
  </mc:AlternateContent>
  <xr:revisionPtr revIDLastSave="6996" documentId="11_E60897F41BE170836B02CE998F75CCDC64E183C8" xr6:coauthVersionLast="47" xr6:coauthVersionMax="47" xr10:uidLastSave="{40FF9F11-91E4-4BE3-BEB3-CA3693044850}"/>
  <bookViews>
    <workbookView xWindow="-103" yWindow="-103" windowWidth="22149" windowHeight="13200" firstSheet="17" activeTab="17" xr2:uid="{00000000-000D-0000-FFFF-FFFF00000000}"/>
  </bookViews>
  <sheets>
    <sheet name="Overview" sheetId="18" r:id="rId1"/>
    <sheet name="M1" sheetId="6" r:id="rId2"/>
    <sheet name="M2" sheetId="5" r:id="rId3"/>
    <sheet name="M3.1" sheetId="4" r:id="rId4"/>
    <sheet name="M3.2" sheetId="19" r:id="rId5"/>
    <sheet name="M4" sheetId="7" r:id="rId6"/>
    <sheet name="M5" sheetId="8" r:id="rId7"/>
    <sheet name="M6" sheetId="9" r:id="rId8"/>
    <sheet name="M7" sheetId="10" r:id="rId9"/>
    <sheet name="M8" sheetId="12" r:id="rId10"/>
    <sheet name="M9" sheetId="11" r:id="rId11"/>
    <sheet name="M10.1" sheetId="26" r:id="rId12"/>
    <sheet name="M10.2" sheetId="27" r:id="rId13"/>
    <sheet name="M10.3" sheetId="13" r:id="rId14"/>
    <sheet name="M10.4" sheetId="28" r:id="rId15"/>
    <sheet name="M10.5" sheetId="29" r:id="rId16"/>
    <sheet name="M10.6" sheetId="30" r:id="rId17"/>
    <sheet name="M11.1" sheetId="14" r:id="rId18"/>
    <sheet name="M11.2" sheetId="31" r:id="rId19"/>
    <sheet name="M12" sheetId="15" r:id="rId20"/>
    <sheet name="M13" sheetId="16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6" l="1"/>
  <c r="P3" i="8"/>
  <c r="P4" i="8"/>
  <c r="P5" i="8"/>
  <c r="P2" i="8"/>
  <c r="P28" i="9"/>
  <c r="P24" i="9"/>
  <c r="P25" i="9"/>
  <c r="P26" i="9"/>
  <c r="P23" i="9"/>
  <c r="P19" i="9"/>
  <c r="P21" i="9"/>
  <c r="P10" i="9"/>
  <c r="P12" i="9"/>
  <c r="P13" i="9"/>
  <c r="P9" i="9"/>
  <c r="P4" i="9"/>
  <c r="P5" i="9"/>
  <c r="P6" i="9"/>
  <c r="P7" i="9"/>
  <c r="P3" i="9"/>
  <c r="P9" i="30"/>
  <c r="P8" i="30"/>
  <c r="P4" i="30"/>
  <c r="P5" i="30"/>
  <c r="P6" i="30"/>
  <c r="P3" i="30"/>
  <c r="P2" i="16"/>
  <c r="O30" i="7"/>
  <c r="P30" i="7" s="1"/>
  <c r="P26" i="19"/>
  <c r="O16" i="19"/>
  <c r="P16" i="19" s="1"/>
  <c r="O13" i="19"/>
  <c r="P13" i="19"/>
  <c r="O3" i="7"/>
  <c r="P3" i="7" s="1"/>
  <c r="P3" i="6"/>
  <c r="P4" i="6"/>
  <c r="P6" i="6"/>
  <c r="P7" i="6"/>
  <c r="P8" i="6"/>
  <c r="P9" i="6"/>
  <c r="P11" i="6"/>
  <c r="O2" i="16"/>
  <c r="O4" i="16"/>
  <c r="P4" i="16" s="1"/>
  <c r="O26" i="7"/>
  <c r="P26" i="7" s="1"/>
  <c r="O31" i="11"/>
  <c r="P31" i="11" s="1"/>
  <c r="O29" i="11"/>
  <c r="P29" i="11" s="1"/>
  <c r="O30" i="9"/>
  <c r="P30" i="9" s="1"/>
  <c r="O7" i="16"/>
  <c r="P7" i="16" s="1"/>
  <c r="O32" i="16"/>
  <c r="P32" i="16" s="1"/>
  <c r="O30" i="31"/>
  <c r="P30" i="31" s="1"/>
  <c r="O29" i="31"/>
  <c r="P29" i="31" s="1"/>
  <c r="O27" i="31"/>
  <c r="P27" i="31" s="1"/>
  <c r="O26" i="31"/>
  <c r="P26" i="31" s="1"/>
  <c r="O24" i="31"/>
  <c r="P24" i="31" s="1"/>
  <c r="O23" i="31"/>
  <c r="P23" i="31" s="1"/>
  <c r="O21" i="31"/>
  <c r="P21" i="31" s="1"/>
  <c r="O20" i="31"/>
  <c r="P20" i="31" s="1"/>
  <c r="O19" i="31"/>
  <c r="P19" i="31" s="1"/>
  <c r="O17" i="31"/>
  <c r="P17" i="31" s="1"/>
  <c r="O16" i="31"/>
  <c r="P16" i="31" s="1"/>
  <c r="O15" i="31"/>
  <c r="P15" i="31" s="1"/>
  <c r="O14" i="31"/>
  <c r="P14" i="31" s="1"/>
  <c r="O13" i="31"/>
  <c r="P13" i="31" s="1"/>
  <c r="O11" i="31"/>
  <c r="P11" i="31" s="1"/>
  <c r="O10" i="31"/>
  <c r="P10" i="31" s="1"/>
  <c r="O9" i="31"/>
  <c r="P9" i="31" s="1"/>
  <c r="O8" i="31"/>
  <c r="P8" i="31" s="1"/>
  <c r="O7" i="31"/>
  <c r="P7" i="31" s="1"/>
  <c r="O6" i="31"/>
  <c r="P6" i="31" s="1"/>
  <c r="O5" i="31"/>
  <c r="P5" i="31" s="1"/>
  <c r="O4" i="31"/>
  <c r="P4" i="31" s="1"/>
  <c r="O3" i="31"/>
  <c r="P3" i="31" s="1"/>
  <c r="O6" i="16"/>
  <c r="P6" i="16" s="1"/>
  <c r="O8" i="16"/>
  <c r="P8" i="16" s="1"/>
  <c r="O9" i="16"/>
  <c r="P9" i="16" s="1"/>
  <c r="O10" i="16"/>
  <c r="P10" i="16" s="1"/>
  <c r="O11" i="16"/>
  <c r="P11" i="16" s="1"/>
  <c r="O12" i="16"/>
  <c r="P12" i="16" s="1"/>
  <c r="O13" i="16"/>
  <c r="P13" i="16" s="1"/>
  <c r="O14" i="16"/>
  <c r="P14" i="16" s="1"/>
  <c r="O16" i="16"/>
  <c r="P16" i="16" s="1"/>
  <c r="O18" i="16"/>
  <c r="P18" i="16" s="1"/>
  <c r="O19" i="16"/>
  <c r="P19" i="16" s="1"/>
  <c r="O20" i="16"/>
  <c r="P20" i="16" s="1"/>
  <c r="O21" i="16"/>
  <c r="P21" i="16" s="1"/>
  <c r="O22" i="16"/>
  <c r="P22" i="16" s="1"/>
  <c r="O23" i="16"/>
  <c r="P23" i="16" s="1"/>
  <c r="O24" i="16"/>
  <c r="P24" i="16" s="1"/>
  <c r="O25" i="16"/>
  <c r="P25" i="16" s="1"/>
  <c r="O26" i="16"/>
  <c r="P26" i="16" s="1"/>
  <c r="O27" i="16"/>
  <c r="P27" i="16" s="1"/>
  <c r="O28" i="16"/>
  <c r="P28" i="16" s="1"/>
  <c r="O30" i="16"/>
  <c r="P30" i="16" s="1"/>
  <c r="O4" i="15"/>
  <c r="P4" i="15" s="1"/>
  <c r="O8" i="15"/>
  <c r="P8" i="15" s="1"/>
  <c r="O9" i="15"/>
  <c r="P9" i="15" s="1"/>
  <c r="O10" i="15"/>
  <c r="P10" i="15" s="1"/>
  <c r="O11" i="15"/>
  <c r="P11" i="15" s="1"/>
  <c r="O13" i="15"/>
  <c r="P13" i="15" s="1"/>
  <c r="O14" i="15"/>
  <c r="P14" i="15" s="1"/>
  <c r="O15" i="15"/>
  <c r="P15" i="15" s="1"/>
  <c r="O16" i="15"/>
  <c r="P16" i="15" s="1"/>
  <c r="O18" i="15"/>
  <c r="P18" i="15" s="1"/>
  <c r="O19" i="15"/>
  <c r="P19" i="15" s="1"/>
  <c r="O21" i="15"/>
  <c r="P21" i="15" s="1"/>
  <c r="O20" i="15"/>
  <c r="P20" i="15" s="1"/>
  <c r="O22" i="15"/>
  <c r="P22" i="15" s="1"/>
  <c r="O23" i="15"/>
  <c r="P23" i="15" s="1"/>
  <c r="O24" i="15"/>
  <c r="P24" i="15" s="1"/>
  <c r="O26" i="15"/>
  <c r="P26" i="15" s="1"/>
  <c r="O27" i="15"/>
  <c r="P27" i="15" s="1"/>
  <c r="O28" i="15"/>
  <c r="P28" i="15" s="1"/>
  <c r="O29" i="15"/>
  <c r="P29" i="15" s="1"/>
  <c r="O30" i="15"/>
  <c r="P30" i="15" s="1"/>
  <c r="O32" i="15"/>
  <c r="P32" i="15" s="1"/>
  <c r="O33" i="15"/>
  <c r="P33" i="15" s="1"/>
  <c r="O35" i="15"/>
  <c r="P35" i="15" s="1"/>
  <c r="O36" i="15"/>
  <c r="P36" i="15" s="1"/>
  <c r="O37" i="15"/>
  <c r="P37" i="15" s="1"/>
  <c r="O2" i="15"/>
  <c r="P2" i="15" s="1"/>
  <c r="O4" i="14"/>
  <c r="P4" i="14" s="1"/>
  <c r="O5" i="14"/>
  <c r="P5" i="14" s="1"/>
  <c r="O6" i="14"/>
  <c r="P6" i="14" s="1"/>
  <c r="O8" i="14"/>
  <c r="P8" i="14" s="1"/>
  <c r="O9" i="14"/>
  <c r="P9" i="14" s="1"/>
  <c r="O10" i="14"/>
  <c r="P10" i="14" s="1"/>
  <c r="O11" i="14"/>
  <c r="P11" i="14" s="1"/>
  <c r="O12" i="14"/>
  <c r="P12" i="14" s="1"/>
  <c r="O13" i="14"/>
  <c r="P13" i="14" s="1"/>
  <c r="O14" i="14"/>
  <c r="P14" i="14" s="1"/>
  <c r="O17" i="14"/>
  <c r="P17" i="14" s="1"/>
  <c r="O18" i="14"/>
  <c r="P18" i="14" s="1"/>
  <c r="O20" i="14"/>
  <c r="P20" i="14" s="1"/>
  <c r="O22" i="14"/>
  <c r="P22" i="14" s="1"/>
  <c r="O24" i="14"/>
  <c r="P24" i="14" s="1"/>
  <c r="O25" i="14"/>
  <c r="P25" i="14" s="1"/>
  <c r="O26" i="14"/>
  <c r="P26" i="14" s="1"/>
  <c r="O27" i="14"/>
  <c r="P27" i="14" s="1"/>
  <c r="O29" i="14"/>
  <c r="P29" i="14" s="1"/>
  <c r="O30" i="14"/>
  <c r="P30" i="14" s="1"/>
  <c r="O31" i="14"/>
  <c r="P31" i="14" s="1"/>
  <c r="O4" i="30"/>
  <c r="O5" i="30"/>
  <c r="O6" i="30"/>
  <c r="O8" i="30"/>
  <c r="O9" i="30"/>
  <c r="O4" i="29"/>
  <c r="P4" i="29" s="1"/>
  <c r="O4" i="28"/>
  <c r="P4" i="28" s="1"/>
  <c r="O6" i="28"/>
  <c r="P6" i="28" s="1"/>
  <c r="O7" i="28"/>
  <c r="P7" i="28" s="1"/>
  <c r="O8" i="28"/>
  <c r="P8" i="28" s="1"/>
  <c r="O4" i="13"/>
  <c r="P4" i="13" s="1"/>
  <c r="O6" i="13"/>
  <c r="P6" i="13" s="1"/>
  <c r="O8" i="13"/>
  <c r="P8" i="13" s="1"/>
  <c r="O9" i="13"/>
  <c r="P9" i="13" s="1"/>
  <c r="O10" i="13"/>
  <c r="P10" i="13" s="1"/>
  <c r="O5" i="27"/>
  <c r="P5" i="27" s="1"/>
  <c r="O7" i="27"/>
  <c r="P7" i="27" s="1"/>
  <c r="O8" i="27"/>
  <c r="P8" i="27" s="1"/>
  <c r="O9" i="27"/>
  <c r="P9" i="27" s="1"/>
  <c r="O10" i="27"/>
  <c r="P10" i="27" s="1"/>
  <c r="O11" i="27"/>
  <c r="P11" i="27" s="1"/>
  <c r="O13" i="27"/>
  <c r="P13" i="27" s="1"/>
  <c r="O15" i="27"/>
  <c r="P15" i="27" s="1"/>
  <c r="O17" i="27"/>
  <c r="P17" i="27" s="1"/>
  <c r="O19" i="27"/>
  <c r="P19" i="27" s="1"/>
  <c r="O21" i="27"/>
  <c r="P21" i="27" s="1"/>
  <c r="O23" i="27"/>
  <c r="P23" i="27" s="1"/>
  <c r="O25" i="27"/>
  <c r="P25" i="27" s="1"/>
  <c r="O27" i="27"/>
  <c r="P27" i="27" s="1"/>
  <c r="O5" i="26"/>
  <c r="P5" i="26" s="1"/>
  <c r="O6" i="26"/>
  <c r="P6" i="26" s="1"/>
  <c r="O8" i="26"/>
  <c r="P8" i="26" s="1"/>
  <c r="O11" i="26"/>
  <c r="P11" i="26" s="1"/>
  <c r="O13" i="26"/>
  <c r="P13" i="26" s="1"/>
  <c r="O15" i="26"/>
  <c r="P15" i="26" s="1"/>
  <c r="O16" i="26"/>
  <c r="P16" i="26" s="1"/>
  <c r="O17" i="26"/>
  <c r="P17" i="26" s="1"/>
  <c r="O19" i="26"/>
  <c r="P19" i="26" s="1"/>
  <c r="O20" i="26"/>
  <c r="P20" i="26" s="1"/>
  <c r="O21" i="26"/>
  <c r="P21" i="26" s="1"/>
  <c r="O3" i="30"/>
  <c r="O3" i="29"/>
  <c r="P3" i="29" s="1"/>
  <c r="O3" i="28"/>
  <c r="P3" i="28" s="1"/>
  <c r="O3" i="27"/>
  <c r="P3" i="27" s="1"/>
  <c r="O3" i="26"/>
  <c r="P3" i="26" s="1"/>
  <c r="O4" i="11"/>
  <c r="P4" i="11" s="1"/>
  <c r="O5" i="11"/>
  <c r="P5" i="11" s="1"/>
  <c r="O7" i="11"/>
  <c r="P7" i="11" s="1"/>
  <c r="O8" i="11"/>
  <c r="P8" i="11" s="1"/>
  <c r="O10" i="11"/>
  <c r="P10" i="11" s="1"/>
  <c r="O12" i="11"/>
  <c r="P12" i="11" s="1"/>
  <c r="O14" i="11"/>
  <c r="P14" i="11" s="1"/>
  <c r="O16" i="11"/>
  <c r="P16" i="11" s="1"/>
  <c r="O18" i="11"/>
  <c r="P18" i="11" s="1"/>
  <c r="O20" i="11"/>
  <c r="P20" i="11" s="1"/>
  <c r="O22" i="11"/>
  <c r="P22" i="11" s="1"/>
  <c r="O24" i="11"/>
  <c r="P24" i="11" s="1"/>
  <c r="O26" i="11"/>
  <c r="P26" i="11" s="1"/>
  <c r="O27" i="11"/>
  <c r="P27" i="11" s="1"/>
  <c r="O13" i="12"/>
  <c r="P13" i="12" s="1"/>
  <c r="O4" i="12"/>
  <c r="P4" i="12" s="1"/>
  <c r="O7" i="12"/>
  <c r="P7" i="12" s="1"/>
  <c r="O10" i="12"/>
  <c r="P10" i="12" s="1"/>
  <c r="O8" i="12"/>
  <c r="P8" i="12" s="1"/>
  <c r="O11" i="12"/>
  <c r="P11" i="12" s="1"/>
  <c r="O5" i="12"/>
  <c r="P5" i="12" s="1"/>
  <c r="O6" i="12"/>
  <c r="P6" i="12" s="1"/>
  <c r="O23" i="12"/>
  <c r="P23" i="12" s="1"/>
  <c r="O24" i="12"/>
  <c r="P24" i="12" s="1"/>
  <c r="O27" i="12"/>
  <c r="P27" i="12" s="1"/>
  <c r="O25" i="12"/>
  <c r="P25" i="12" s="1"/>
  <c r="O28" i="12"/>
  <c r="P28" i="12" s="1"/>
  <c r="O29" i="12"/>
  <c r="P29" i="12" s="1"/>
  <c r="O26" i="12"/>
  <c r="P26" i="12" s="1"/>
  <c r="O14" i="12"/>
  <c r="P14" i="12" s="1"/>
  <c r="O18" i="12"/>
  <c r="P18" i="12" s="1"/>
  <c r="O15" i="12"/>
  <c r="P15" i="12" s="1"/>
  <c r="O16" i="12"/>
  <c r="P16" i="12" s="1"/>
  <c r="O19" i="12"/>
  <c r="P19" i="12" s="1"/>
  <c r="O20" i="12"/>
  <c r="P20" i="12" s="1"/>
  <c r="O17" i="12"/>
  <c r="P17" i="12" s="1"/>
  <c r="O21" i="12"/>
  <c r="P21" i="12" s="1"/>
  <c r="O31" i="12"/>
  <c r="P31" i="12" s="1"/>
  <c r="O32" i="12"/>
  <c r="P32" i="12" s="1"/>
  <c r="O33" i="12"/>
  <c r="P33" i="12" s="1"/>
  <c r="O35" i="12"/>
  <c r="P35" i="12" s="1"/>
  <c r="O37" i="12"/>
  <c r="P37" i="12" s="1"/>
  <c r="O36" i="12"/>
  <c r="P36" i="12" s="1"/>
  <c r="O39" i="12"/>
  <c r="P39" i="12" s="1"/>
  <c r="O41" i="12"/>
  <c r="P41" i="12" s="1"/>
  <c r="O40" i="12"/>
  <c r="P40" i="12" s="1"/>
  <c r="O2" i="10"/>
  <c r="P2" i="10" s="1"/>
  <c r="O6" i="10"/>
  <c r="P6" i="10" s="1"/>
  <c r="O8" i="10"/>
  <c r="P8" i="10" s="1"/>
  <c r="O10" i="10"/>
  <c r="P10" i="10" s="1"/>
  <c r="O11" i="10"/>
  <c r="P11" i="10" s="1"/>
  <c r="O14" i="10"/>
  <c r="P14" i="10" s="1"/>
  <c r="O16" i="10"/>
  <c r="P16" i="10" s="1"/>
  <c r="O17" i="10"/>
  <c r="P17" i="10" s="1"/>
  <c r="O19" i="10"/>
  <c r="P19" i="10" s="1"/>
  <c r="O21" i="10"/>
  <c r="P21" i="10" s="1"/>
  <c r="O23" i="10"/>
  <c r="P23" i="10" s="1"/>
  <c r="O24" i="10"/>
  <c r="P24" i="10" s="1"/>
  <c r="O3" i="14"/>
  <c r="P3" i="14" s="1"/>
  <c r="O3" i="13"/>
  <c r="P3" i="13" s="1"/>
  <c r="O3" i="11"/>
  <c r="P3" i="11" s="1"/>
  <c r="O3" i="12"/>
  <c r="P3" i="12" s="1"/>
  <c r="O3" i="10"/>
  <c r="P3" i="10" s="1"/>
  <c r="O17" i="9"/>
  <c r="P17" i="9" s="1"/>
  <c r="O19" i="9"/>
  <c r="O21" i="9"/>
  <c r="O23" i="9"/>
  <c r="O24" i="9"/>
  <c r="O25" i="9"/>
  <c r="O26" i="9"/>
  <c r="O28" i="9"/>
  <c r="O4" i="9"/>
  <c r="O5" i="9"/>
  <c r="O6" i="9"/>
  <c r="O7" i="9"/>
  <c r="O9" i="9"/>
  <c r="O10" i="9"/>
  <c r="O12" i="9"/>
  <c r="O13" i="9"/>
  <c r="O15" i="9"/>
  <c r="P15" i="9" s="1"/>
  <c r="O3" i="9"/>
  <c r="O3" i="8"/>
  <c r="O4" i="8"/>
  <c r="O5" i="8"/>
  <c r="O2" i="8"/>
  <c r="O4" i="7"/>
  <c r="P4" i="7" s="1"/>
  <c r="O5" i="7"/>
  <c r="P5" i="7" s="1"/>
  <c r="O6" i="7"/>
  <c r="P6" i="7" s="1"/>
  <c r="O8" i="7"/>
  <c r="P8" i="7" s="1"/>
  <c r="O10" i="7"/>
  <c r="P10" i="7" s="1"/>
  <c r="O12" i="7"/>
  <c r="P12" i="7" s="1"/>
  <c r="O13" i="7"/>
  <c r="P13" i="7" s="1"/>
  <c r="O16" i="7"/>
  <c r="P16" i="7" s="1"/>
  <c r="O15" i="7"/>
  <c r="P15" i="7" s="1"/>
  <c r="O17" i="7"/>
  <c r="P17" i="7" s="1"/>
  <c r="O19" i="7"/>
  <c r="P19" i="7" s="1"/>
  <c r="O20" i="7"/>
  <c r="P20" i="7" s="1"/>
  <c r="O21" i="7"/>
  <c r="P21" i="7" s="1"/>
  <c r="O23" i="7"/>
  <c r="P23" i="7" s="1"/>
  <c r="O24" i="7"/>
  <c r="P24" i="7" s="1"/>
  <c r="O25" i="7"/>
  <c r="P25" i="7" s="1"/>
  <c r="O27" i="7"/>
  <c r="P27" i="7" s="1"/>
  <c r="O28" i="7"/>
  <c r="P28" i="7" s="1"/>
  <c r="O29" i="7"/>
  <c r="P29" i="7" s="1"/>
  <c r="O32" i="7"/>
  <c r="P32" i="7" s="1"/>
  <c r="O33" i="7"/>
  <c r="P33" i="7" s="1"/>
  <c r="O34" i="7"/>
  <c r="P34" i="7" s="1"/>
  <c r="O35" i="7"/>
  <c r="P35" i="7" s="1"/>
  <c r="O36" i="7"/>
  <c r="P36" i="7" s="1"/>
  <c r="O37" i="7"/>
  <c r="P37" i="7" s="1"/>
  <c r="O38" i="7"/>
  <c r="P38" i="7" s="1"/>
  <c r="O40" i="7"/>
  <c r="P40" i="7" s="1"/>
  <c r="O42" i="19"/>
  <c r="P42" i="19" s="1"/>
  <c r="O41" i="19"/>
  <c r="P41" i="19" s="1"/>
  <c r="O40" i="19"/>
  <c r="P40" i="19" s="1"/>
  <c r="O36" i="19"/>
  <c r="P36" i="19" s="1"/>
  <c r="O35" i="19"/>
  <c r="P35" i="19" s="1"/>
  <c r="O31" i="19"/>
  <c r="P31" i="19" s="1"/>
  <c r="O34" i="19"/>
  <c r="P34" i="19" s="1"/>
  <c r="O33" i="19"/>
  <c r="P33" i="19" s="1"/>
  <c r="O30" i="19"/>
  <c r="P30" i="19" s="1"/>
  <c r="O39" i="19"/>
  <c r="P39" i="19" s="1"/>
  <c r="O37" i="19"/>
  <c r="P37" i="19" s="1"/>
  <c r="O32" i="19"/>
  <c r="P32" i="19" s="1"/>
  <c r="O29" i="19"/>
  <c r="P29" i="19" s="1"/>
  <c r="O28" i="19"/>
  <c r="P28" i="19" s="1"/>
  <c r="O26" i="19"/>
  <c r="O25" i="19"/>
  <c r="P25" i="19" s="1"/>
  <c r="O24" i="19"/>
  <c r="P24" i="19" s="1"/>
  <c r="O23" i="19"/>
  <c r="P23" i="19" s="1"/>
  <c r="O21" i="19"/>
  <c r="P21" i="19" s="1"/>
  <c r="O18" i="19"/>
  <c r="P18" i="19" s="1"/>
  <c r="O17" i="19"/>
  <c r="P17" i="19" s="1"/>
  <c r="O10" i="19"/>
  <c r="P10" i="19" s="1"/>
  <c r="O9" i="19"/>
  <c r="P9" i="19" s="1"/>
  <c r="O8" i="19"/>
  <c r="P8" i="19" s="1"/>
  <c r="O7" i="19"/>
  <c r="P7" i="19" s="1"/>
  <c r="O6" i="19"/>
  <c r="P6" i="19" s="1"/>
  <c r="O5" i="19"/>
  <c r="P5" i="19" s="1"/>
  <c r="O3" i="19"/>
  <c r="P3" i="19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O30" i="4"/>
  <c r="P30" i="4" s="1"/>
  <c r="O31" i="4"/>
  <c r="P31" i="4" s="1"/>
  <c r="O32" i="4"/>
  <c r="P32" i="4" s="1"/>
  <c r="O33" i="4"/>
  <c r="P33" i="4" s="1"/>
  <c r="O3" i="4"/>
  <c r="P3" i="4" s="1"/>
  <c r="O4" i="5"/>
  <c r="P4" i="5" s="1"/>
  <c r="O6" i="5"/>
  <c r="P6" i="5" s="1"/>
  <c r="O10" i="5"/>
  <c r="P10" i="5" s="1"/>
  <c r="O12" i="5"/>
  <c r="P12" i="5" s="1"/>
  <c r="O13" i="5"/>
  <c r="P13" i="5" s="1"/>
  <c r="O14" i="5"/>
  <c r="P14" i="5" s="1"/>
  <c r="O15" i="5"/>
  <c r="P15" i="5" s="1"/>
  <c r="O16" i="5"/>
  <c r="P16" i="5" s="1"/>
  <c r="O17" i="5"/>
  <c r="P17" i="5" s="1"/>
  <c r="O18" i="5"/>
  <c r="P18" i="5" s="1"/>
  <c r="O19" i="5"/>
  <c r="P19" i="5" s="1"/>
  <c r="O20" i="5"/>
  <c r="P20" i="5" s="1"/>
  <c r="O21" i="5"/>
  <c r="P21" i="5" s="1"/>
  <c r="O22" i="5"/>
  <c r="P22" i="5" s="1"/>
  <c r="O24" i="5"/>
  <c r="P24" i="5" s="1"/>
  <c r="O25" i="5"/>
  <c r="P25" i="5" s="1"/>
  <c r="O26" i="5"/>
  <c r="P26" i="5" s="1"/>
  <c r="O27" i="5"/>
  <c r="P27" i="5" s="1"/>
  <c r="O28" i="5"/>
  <c r="P28" i="5" s="1"/>
  <c r="O29" i="5"/>
  <c r="P29" i="5" s="1"/>
  <c r="O30" i="5"/>
  <c r="P30" i="5" s="1"/>
  <c r="O3" i="5"/>
  <c r="P3" i="5" s="1"/>
  <c r="O33" i="5"/>
  <c r="P33" i="5" s="1"/>
  <c r="O2" i="5"/>
  <c r="P2" i="5" s="1"/>
  <c r="O3" i="6"/>
  <c r="O4" i="6"/>
  <c r="O6" i="6"/>
  <c r="O7" i="6"/>
  <c r="O9" i="6"/>
  <c r="O8" i="6"/>
  <c r="O11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Daan Schlosser</author>
  </authors>
  <commentList>
    <comment ref="T15" authorId="0" shapeId="0" xr:uid="{587F4A45-106A-4FED-919E-9ED6EB37C238}">
      <text>
        <r>
          <rPr>
            <b/>
            <sz val="9"/>
            <color indexed="81"/>
            <rFont val="Tahoma"/>
            <family val="2"/>
          </rPr>
          <t>Daan Schlosser:</t>
        </r>
        <r>
          <rPr>
            <sz val="9"/>
            <color indexed="81"/>
            <rFont val="Tahoma"/>
            <family val="2"/>
          </rPr>
          <t xml:space="preserve">
Same attribute as row 14. To distinguish dwelling vs. non-dwelling units, use BuildingUnit instances with type=CurrentUseValue (e.g. 'residential' vs. 'commercial').</t>
        </r>
      </text>
    </comment>
  </commentList>
</comments>
</file>

<file path=xl/sharedStrings.xml><?xml version="1.0" encoding="utf-8"?>
<sst xmlns="http://schemas.openxmlformats.org/spreadsheetml/2006/main" count="7919" uniqueCount="717">
  <si>
    <t>Overview</t>
  </si>
  <si>
    <t>EUB SuperHub DBL</t>
  </si>
  <si>
    <t>ALDREN</t>
  </si>
  <si>
    <t>Goméz-Gil et al.</t>
  </si>
  <si>
    <t>iBRoad</t>
  </si>
  <si>
    <t>Woningpas</t>
  </si>
  <si>
    <t>X-tendo</t>
  </si>
  <si>
    <t>EU DBL (by Ecorys)</t>
  </si>
  <si>
    <t>BUILDCHAIN</t>
  </si>
  <si>
    <t>OneClickReno</t>
  </si>
  <si>
    <t>Vabi</t>
  </si>
  <si>
    <t>TheEarlyBirds</t>
  </si>
  <si>
    <t>CAPSA</t>
  </si>
  <si>
    <t>ISFP</t>
  </si>
  <si>
    <t>Total</t>
  </si>
  <si>
    <t>Percentage</t>
  </si>
  <si>
    <t>X</t>
  </si>
  <si>
    <t>Y</t>
  </si>
  <si>
    <t>Z</t>
  </si>
  <si>
    <t>Module 1: Identification &amp; administrative details</t>
  </si>
  <si>
    <t>Cléa</t>
  </si>
  <si>
    <t>Namespace</t>
  </si>
  <si>
    <t>Module</t>
  </si>
  <si>
    <t>Class</t>
  </si>
  <si>
    <t>Attribute</t>
  </si>
  <si>
    <t>Type</t>
  </si>
  <si>
    <t>Building address details</t>
  </si>
  <si>
    <t>✔</t>
  </si>
  <si>
    <t>core</t>
  </si>
  <si>
    <t>Core</t>
  </si>
  <si>
    <t>Address</t>
  </si>
  <si>
    <t>Multiple</t>
  </si>
  <si>
    <t xml:space="preserve">Building identification (Cadastral/INSPIRE) </t>
  </si>
  <si>
    <t>✗</t>
  </si>
  <si>
    <t>nrg</t>
  </si>
  <si>
    <t>Code [0..1]</t>
  </si>
  <si>
    <t>Ownership details and occupancy details</t>
  </si>
  <si>
    <t>Building</t>
  </si>
  <si>
    <t>CharacterString [0..1]</t>
  </si>
  <si>
    <t>bdgOwnershipType</t>
  </si>
  <si>
    <t>OwnershipTypeValue [0..1]</t>
  </si>
  <si>
    <t>Geospatial Coordinates (latitude, longitude, altitude)</t>
  </si>
  <si>
    <t>referencePoint</t>
  </si>
  <si>
    <t>DBL author/ assessor qualifications and information</t>
  </si>
  <si>
    <t>DataTypes</t>
  </si>
  <si>
    <t>Metadata</t>
  </si>
  <si>
    <t>Details on the building with building-unit relation</t>
  </si>
  <si>
    <t>BuildingUnit</t>
  </si>
  <si>
    <t>N/A (done by composition)</t>
  </si>
  <si>
    <t>Timestamps on collection, provision or modification**</t>
  </si>
  <si>
    <t>AbstractADEFeature</t>
  </si>
  <si>
    <t>creationDate</t>
  </si>
  <si>
    <t>DateTime [0..1]</t>
  </si>
  <si>
    <t>terminationDate</t>
  </si>
  <si>
    <t>Building owner address details</t>
  </si>
  <si>
    <t>Module 2: General building statistics</t>
  </si>
  <si>
    <t>Year of building construction</t>
  </si>
  <si>
    <t>yearOfConstruction</t>
  </si>
  <si>
    <t>xs::gYear [0..1]</t>
  </si>
  <si>
    <t>Date of demolition</t>
  </si>
  <si>
    <t>yearOfDemolition</t>
  </si>
  <si>
    <t>Number of floors</t>
  </si>
  <si>
    <t>storeysAboveGround</t>
  </si>
  <si>
    <t>xs::nonNegativeInteger [0..1]</t>
  </si>
  <si>
    <t>storeysBelowGround</t>
  </si>
  <si>
    <t>Year of last (major) renovation, and description</t>
  </si>
  <si>
    <t>Intervention</t>
  </si>
  <si>
    <t>interventionStartDate</t>
  </si>
  <si>
    <t>Date [0..1]</t>
  </si>
  <si>
    <t>interventionEndDate</t>
  </si>
  <si>
    <t>Building use/function</t>
  </si>
  <si>
    <t>function</t>
  </si>
  <si>
    <t>BuildingFunctionType [0..*]</t>
  </si>
  <si>
    <t>usage</t>
  </si>
  <si>
    <t>BuildingUsageType [0..*]</t>
  </si>
  <si>
    <t>Building type (MFH, SFH, office, etc.)</t>
  </si>
  <si>
    <t>bdgType</t>
  </si>
  <si>
    <t>Building name (or project name)</t>
  </si>
  <si>
    <t>AbstractFeature</t>
  </si>
  <si>
    <t>name</t>
  </si>
  <si>
    <t>CodeType [0..*]</t>
  </si>
  <si>
    <t>Number of dwelling units</t>
  </si>
  <si>
    <t>bdgNumberOfBuildingUnits</t>
  </si>
  <si>
    <t>Integer [0..1]</t>
  </si>
  <si>
    <t>Number of total units (or as linked to)</t>
  </si>
  <si>
    <t>Type of roof (flat, gabled, hipped)</t>
  </si>
  <si>
    <t>roofType</t>
  </si>
  <si>
    <t>RoofTypeType [0..1]</t>
  </si>
  <si>
    <t>Number of (specific type/ total) rooms</t>
  </si>
  <si>
    <t>numberOfRooms</t>
  </si>
  <si>
    <t>Main orientation the building faces</t>
  </si>
  <si>
    <t>bdgBdrySurfAzimuth</t>
  </si>
  <si>
    <t>Angle [0..1]</t>
  </si>
  <si>
    <t>Details on barrier-free design (e.g. ramps)</t>
  </si>
  <si>
    <t>BuildingInstallation</t>
  </si>
  <si>
    <t>class</t>
  </si>
  <si>
    <t>BuildingInstallationClassType [0..1]</t>
  </si>
  <si>
    <t>Existence of elevators</t>
  </si>
  <si>
    <t>Building state (new, in-design, existing, etc.)</t>
  </si>
  <si>
    <t xml:space="preserve">Core </t>
  </si>
  <si>
    <t>status</t>
  </si>
  <si>
    <t>StatusValue [0..1]</t>
  </si>
  <si>
    <t>The floor of the unit</t>
  </si>
  <si>
    <t xml:space="preserve">Building </t>
  </si>
  <si>
    <t>floorNumberFrom</t>
  </si>
  <si>
    <t>Decimal [0..1]</t>
  </si>
  <si>
    <t>floorNumberTo</t>
  </si>
  <si>
    <t>Overall building conservation status (bad, good, etc.)</t>
  </si>
  <si>
    <t>qualityDescription</t>
  </si>
  <si>
    <t>Number of (disabled) car parking spaces</t>
  </si>
  <si>
    <t>Transportation</t>
  </si>
  <si>
    <t>TrafficArea</t>
  </si>
  <si>
    <t>TrafficAreaFunctionType [0..*]</t>
  </si>
  <si>
    <t>Whether the building has any sort of historical status</t>
  </si>
  <si>
    <t>bdgIsProtected</t>
  </si>
  <si>
    <t>Boolean [0..1]</t>
  </si>
  <si>
    <t>Is the topmost floor heated?</t>
  </si>
  <si>
    <t>bdgAtticThermalStatus</t>
  </si>
  <si>
    <t>ThermalStatusValue [0..1]</t>
  </si>
  <si>
    <t>Whether the basement floor(s) is/are heated</t>
  </si>
  <si>
    <t>bdgBasementThermalStatus</t>
  </si>
  <si>
    <t>Expected building lifetime</t>
  </si>
  <si>
    <t>If there are thermally (un)conditioned sport facilities</t>
  </si>
  <si>
    <t>AbstractZone</t>
  </si>
  <si>
    <t>type</t>
  </si>
  <si>
    <t>CurrentUseValue</t>
  </si>
  <si>
    <t>isHeated</t>
  </si>
  <si>
    <t>isCooled</t>
  </si>
  <si>
    <t>Number of swimming pools, elevators, balconies</t>
  </si>
  <si>
    <t>AbstractDevice</t>
  </si>
  <si>
    <t>numberOfDevices</t>
  </si>
  <si>
    <t>Module 3: Envelope, construction &amp; materials, Part I</t>
  </si>
  <si>
    <t>High-level envelope &amp; construction</t>
  </si>
  <si>
    <t>The high-level type of construction</t>
  </si>
  <si>
    <t>Layered construction</t>
  </si>
  <si>
    <t>LayeredConstruction</t>
  </si>
  <si>
    <t>LayeredConstructionTypeValue [0..1]</t>
  </si>
  <si>
    <t>The high-level facade type (glass, steel, etc.)</t>
  </si>
  <si>
    <t>The main structure of the building</t>
  </si>
  <si>
    <t>bdgConstructionWeight</t>
  </si>
  <si>
    <t>ConstructionWeightValue [0..1]</t>
  </si>
  <si>
    <t>Identified damages (cracks, degradation, etc.)</t>
  </si>
  <si>
    <t>Identified post-catastrophic damages</t>
  </si>
  <si>
    <t>Details on thermal bridges</t>
  </si>
  <si>
    <t>bdgBdrySurfAdditionalThermalBridgeUValue</t>
  </si>
  <si>
    <t>Measure [0..1]</t>
  </si>
  <si>
    <t>Internal heat capacity per m²</t>
  </si>
  <si>
    <t>heatCapacity</t>
  </si>
  <si>
    <t>Infiltration rate (1/h)</t>
  </si>
  <si>
    <t>infiltrationRate</t>
  </si>
  <si>
    <t>Openings (Windows, Skylights, Doors)</t>
  </si>
  <si>
    <t>Only description of the necessity of describing openings</t>
  </si>
  <si>
    <t>N/A</t>
  </si>
  <si>
    <t>Indication what kind of opening it is</t>
  </si>
  <si>
    <t>AbstractZoneOpening</t>
  </si>
  <si>
    <t>featureType</t>
  </si>
  <si>
    <t>Total area of the opening (m²)</t>
  </si>
  <si>
    <t>bdgOpnArea</t>
  </si>
  <si>
    <t>Area [0..1]</t>
  </si>
  <si>
    <t>g-value of the opening</t>
  </si>
  <si>
    <t>gValue</t>
  </si>
  <si>
    <t>Scale [0..1]</t>
  </si>
  <si>
    <t>Type of the window glazing (single, double, triple, etc.)</t>
  </si>
  <si>
    <t>The type of sun shading (e.g. no shading, external, etc.)</t>
  </si>
  <si>
    <t>Devices</t>
  </si>
  <si>
    <t>MovableShadingDevice</t>
  </si>
  <si>
    <t>ShadingDeviceTypeValue</t>
  </si>
  <si>
    <t>Frame to glass proportion/ percentage indication</t>
  </si>
  <si>
    <t>glazingRatio</t>
  </si>
  <si>
    <t>The materials of the opening, like frame, glazing, etc.</t>
  </si>
  <si>
    <t>SolidMaterial</t>
  </si>
  <si>
    <t>SolidMaterialTypeValue [0..1]</t>
  </si>
  <si>
    <t>Frame U-value (W/m²K)</t>
  </si>
  <si>
    <t>uValue</t>
  </si>
  <si>
    <t>Glazing U-value (W/m²K)</t>
  </si>
  <si>
    <t>Total U-value of the opening (W/m²K)</t>
  </si>
  <si>
    <t>Orientation of the opening</t>
  </si>
  <si>
    <t>bdgOpnAzimuth</t>
  </si>
  <si>
    <t>Light Transmission (LT) factor</t>
  </si>
  <si>
    <t>transmittance</t>
  </si>
  <si>
    <t>Transmittance [0..*]</t>
  </si>
  <si>
    <t>Producer/ Brand</t>
  </si>
  <si>
    <t>ExternalReference</t>
  </si>
  <si>
    <t>informationSystem</t>
  </si>
  <si>
    <t>Model number</t>
  </si>
  <si>
    <t>Airtightness class</t>
  </si>
  <si>
    <t>Total height &amp; total width</t>
  </si>
  <si>
    <t>geometry</t>
  </si>
  <si>
    <t>lod3MultiSurface</t>
  </si>
  <si>
    <t>Digital Product Passport</t>
  </si>
  <si>
    <t>Specific mention of images/photographs of the opening</t>
  </si>
  <si>
    <t>Quantity of identical openings</t>
  </si>
  <si>
    <t>Source used (e.g. by inspection or by specifications)</t>
  </si>
  <si>
    <t>source</t>
  </si>
  <si>
    <t>Description of the state of the opening (e.g. leaky)</t>
  </si>
  <si>
    <t>Module 3: Envelope, construction &amp; materials, Part II</t>
  </si>
  <si>
    <t>Walls, Floor, Roof</t>
  </si>
  <si>
    <t>Wall orientation</t>
  </si>
  <si>
    <t>bdgBdrySurfInclination</t>
  </si>
  <si>
    <t>Wall U-value (W/m²K)</t>
  </si>
  <si>
    <t xml:space="preserve">Layered construction </t>
  </si>
  <si>
    <t>Floor U-value (W/m²K)</t>
  </si>
  <si>
    <t>Roof U-value (W/m²K)</t>
  </si>
  <si>
    <t>Surface area(s) per type (m²)</t>
  </si>
  <si>
    <t>bdgBdrySurfTotalSurfaceArea</t>
  </si>
  <si>
    <t>Ordered layers (materials, thickness, etc.)</t>
  </si>
  <si>
    <t>Layer</t>
  </si>
  <si>
    <t>Installation/renovation date</t>
  </si>
  <si>
    <t>Layer details</t>
  </si>
  <si>
    <t>Material of the layer</t>
  </si>
  <si>
    <t>Liquid</t>
  </si>
  <si>
    <t>Gas</t>
  </si>
  <si>
    <t>Layer thickness</t>
  </si>
  <si>
    <t>thickness</t>
  </si>
  <si>
    <t>Measure</t>
  </si>
  <si>
    <t>Layer thermal capacity</t>
  </si>
  <si>
    <t>specificHeatCapacity</t>
  </si>
  <si>
    <t>Material weight (mass of each building element)</t>
  </si>
  <si>
    <t>density</t>
  </si>
  <si>
    <t>Layer volume per material</t>
  </si>
  <si>
    <t>Global Warming Potential (GWP) - embodied carbon</t>
  </si>
  <si>
    <t>embodiedCarbon</t>
  </si>
  <si>
    <t>Total Renewable Primary Energy (PERT)</t>
  </si>
  <si>
    <t>Total non-Renewable Primary Energy (PENRT)</t>
  </si>
  <si>
    <t>Embodied energy coefficient</t>
  </si>
  <si>
    <t>embodiedEnergy</t>
  </si>
  <si>
    <t>Material library</t>
  </si>
  <si>
    <t>No details on materials</t>
  </si>
  <si>
    <t>Material type (&amp; subtype)</t>
  </si>
  <si>
    <t>Life span expectancy of building material</t>
  </si>
  <si>
    <t>Certificates, like a Environmental Product Declaration</t>
  </si>
  <si>
    <t>externalReference</t>
  </si>
  <si>
    <t>uri</t>
  </si>
  <si>
    <t>Material thermal conductivity</t>
  </si>
  <si>
    <t>thermalConductivity</t>
  </si>
  <si>
    <t>Fire resistance class</t>
  </si>
  <si>
    <t>Waste category</t>
  </si>
  <si>
    <t>Chemical declaration</t>
  </si>
  <si>
    <t>Global Trade Item Number (GTIN)</t>
  </si>
  <si>
    <t>Material density</t>
  </si>
  <si>
    <t>Material vapour permeability</t>
  </si>
  <si>
    <t>permeance</t>
  </si>
  <si>
    <t>Reuse capacity description</t>
  </si>
  <si>
    <t>Recycling capacity description</t>
  </si>
  <si>
    <t>Heat capacity</t>
  </si>
  <si>
    <t>Module 4: Technical systems</t>
  </si>
  <si>
    <t>System inventory ( Heating / DHW / Cooling / Ventilation / Lighting / Shading / BMS)</t>
  </si>
  <si>
    <t>Presence indicatable per system?</t>
  </si>
  <si>
    <t>System category</t>
  </si>
  <si>
    <t>DeviceOperation</t>
  </si>
  <si>
    <t>DeviceOperationTypeValue</t>
  </si>
  <si>
    <t>How grouped the system is (e.g. (de)centralised)</t>
  </si>
  <si>
    <t>ThermalDistribution</t>
  </si>
  <si>
    <t>distributionPerimeter</t>
  </si>
  <si>
    <t>DistributionPerimeterTypeValue [0..1]</t>
  </si>
  <si>
    <t>Served area / served units</t>
  </si>
  <si>
    <t>CityObjectRelation</t>
  </si>
  <si>
    <t>relationType</t>
  </si>
  <si>
    <t>RelationTypeValue</t>
  </si>
  <si>
    <t>System description field (e.g. its type)</t>
  </si>
  <si>
    <t>AbstractGMLType</t>
  </si>
  <si>
    <t>gml:description</t>
  </si>
  <si>
    <t>gml:StringOrRefType</t>
  </si>
  <si>
    <t>System description</t>
  </si>
  <si>
    <t>Energy carrier / source</t>
  </si>
  <si>
    <t>Resources</t>
  </si>
  <si>
    <t>Energy</t>
  </si>
  <si>
    <t>energyCarrier</t>
  </si>
  <si>
    <t>EnergyCarrierValue [0..1]</t>
  </si>
  <si>
    <t>EnergySourceValue [0..1]</t>
  </si>
  <si>
    <t>Technology / system type</t>
  </si>
  <si>
    <t>Distribution type / medium</t>
  </si>
  <si>
    <t>medium</t>
  </si>
  <si>
    <t>MediumTypeValue [0..1]</t>
  </si>
  <si>
    <t>Performance parameters</t>
  </si>
  <si>
    <t>Efficiency metric (e.g. heat recovery COP)</t>
  </si>
  <si>
    <t>efficiencyIndicator</t>
  </si>
  <si>
    <t>Rated capacity (e.g. in kW)</t>
  </si>
  <si>
    <t>installedPower</t>
  </si>
  <si>
    <t>Recorded efficiency value</t>
  </si>
  <si>
    <t>nominalEfficiency</t>
  </si>
  <si>
    <t>yearlyGlobalEfficiency</t>
  </si>
  <si>
    <t>Control / automation class (manual, fully integrated, etc.)</t>
  </si>
  <si>
    <t>Renewable contribution indicator</t>
  </si>
  <si>
    <t>Emissions factor / CO₂ intensity available</t>
  </si>
  <si>
    <t>AbstractResource</t>
  </si>
  <si>
    <t>co2Equivalent</t>
  </si>
  <si>
    <t>Asset identity &amp; lifecycle</t>
  </si>
  <si>
    <t>Manufacturer / producer</t>
  </si>
  <si>
    <t>ExternalReference [0..*]</t>
  </si>
  <si>
    <t>Model name/number</t>
  </si>
  <si>
    <t>model</t>
  </si>
  <si>
    <t>Installation year</t>
  </si>
  <si>
    <t>yearOfInstallation</t>
  </si>
  <si>
    <t>Unique asset ID / serial number</t>
  </si>
  <si>
    <t>AbstractFeatureWithLifeSpan</t>
  </si>
  <si>
    <t>identifier</t>
  </si>
  <si>
    <t>Expected lifespan / end-of-life year</t>
  </si>
  <si>
    <t>validTo</t>
  </si>
  <si>
    <t>Condition / state rating</t>
  </si>
  <si>
    <t>indicator</t>
  </si>
  <si>
    <t>Indicator [0..*]</t>
  </si>
  <si>
    <t>Maintenance record present</t>
  </si>
  <si>
    <t>InterventionTypeValue</t>
  </si>
  <si>
    <t>Last maintenance / inspection date</t>
  </si>
  <si>
    <t>Metering, monitoring &amp; evidence</t>
  </si>
  <si>
    <t>System-level sub-metering available</t>
  </si>
  <si>
    <t>SensorData</t>
  </si>
  <si>
    <t>SensorDataTypeValue</t>
  </si>
  <si>
    <t>Annual energy use per system recorded</t>
  </si>
  <si>
    <t>amount</t>
  </si>
  <si>
    <t>Operational data available</t>
  </si>
  <si>
    <t>BMS/IoT integration link</t>
  </si>
  <si>
    <t>Time Series</t>
  </si>
  <si>
    <t>SensorConnection</t>
  </si>
  <si>
    <t>Documents attached for the system</t>
  </si>
  <si>
    <t>Evidence/source type</t>
  </si>
  <si>
    <t>acquisitionMethod</t>
  </si>
  <si>
    <t>Data collection date</t>
  </si>
  <si>
    <t>Recommended upgrade measure per system</t>
  </si>
  <si>
    <t>action</t>
  </si>
  <si>
    <t>InterventionActionValue [0..1]</t>
  </si>
  <si>
    <t>Module 5: Attachable documents</t>
  </si>
  <si>
    <t>Clea</t>
  </si>
  <si>
    <t>Proprietary and/or open BIM/GEO formats</t>
  </si>
  <si>
    <t>Regular documents (like PDFs)</t>
  </si>
  <si>
    <t>Metadata fields (e.g. issue date, issuer, document type)</t>
  </si>
  <si>
    <t>metadata</t>
  </si>
  <si>
    <t>Metadata [0..1]</t>
  </si>
  <si>
    <t>Image files</t>
  </si>
  <si>
    <t>Module 6: Dimensions</t>
  </si>
  <si>
    <t>Floor areas</t>
  </si>
  <si>
    <t/>
  </si>
  <si>
    <t>Net floor area (NFA)</t>
  </si>
  <si>
    <t>bdgArea</t>
  </si>
  <si>
    <t>QualifiedArea [0..*]</t>
  </si>
  <si>
    <t>Heated/conditioned floor area</t>
  </si>
  <si>
    <t>Gross floor area (GFA)</t>
  </si>
  <si>
    <t>Cooled floor area</t>
  </si>
  <si>
    <t>Footprint (of ground floor) area</t>
  </si>
  <si>
    <t>Non-floor surface areas</t>
  </si>
  <si>
    <t>Total envelope surface area (derived sum)</t>
  </si>
  <si>
    <t>External wall area (total)</t>
  </si>
  <si>
    <t>Roof area (total)</t>
  </si>
  <si>
    <t>Window/glazing area (total)</t>
  </si>
  <si>
    <t>Door area</t>
  </si>
  <si>
    <t>Heights</t>
  </si>
  <si>
    <t>Height above/below terrain height</t>
  </si>
  <si>
    <t>measuredHeight</t>
  </si>
  <si>
    <t>gml::LengthType [0..1]</t>
  </si>
  <si>
    <t>bdgHeight</t>
  </si>
  <si>
    <t>QualifiedHeight [0..*]</t>
  </si>
  <si>
    <t>Room/ Ceiling height</t>
  </si>
  <si>
    <t>storeysHeightsAboveGround</t>
  </si>
  <si>
    <t>gml::MeasureOrNullListType [0..1]</t>
  </si>
  <si>
    <t>storeysHeightsBelowGround</t>
  </si>
  <si>
    <t>Base height of building (sometimes altitude)</t>
  </si>
  <si>
    <t>Volumes</t>
  </si>
  <si>
    <t>Heated/conditioned volume</t>
  </si>
  <si>
    <t>bdgVolume</t>
  </si>
  <si>
    <t>QualifiedVolume [0..*]</t>
  </si>
  <si>
    <t>Gross volume</t>
  </si>
  <si>
    <t>Net volume</t>
  </si>
  <si>
    <t>Cooled volume</t>
  </si>
  <si>
    <t>Shape factor and compactness</t>
  </si>
  <si>
    <t>Shape factor (envelope area / gross volume)</t>
  </si>
  <si>
    <t>Compactness (envelope area / gross floor area)</t>
  </si>
  <si>
    <t>Module 7: Operation and use</t>
  </si>
  <si>
    <t>CLea</t>
  </si>
  <si>
    <t>Behavioural patterns/ user profile</t>
  </si>
  <si>
    <t>Number of occupants</t>
  </si>
  <si>
    <t>Occupants</t>
  </si>
  <si>
    <t>numberOfOccupants</t>
  </si>
  <si>
    <t>OccupantsTypeValue</t>
  </si>
  <si>
    <t>AbstractSchedule [0..1]</t>
  </si>
  <si>
    <t>Set points for heating and cooling</t>
  </si>
  <si>
    <t>Hot water usage intensity (low, medium, high)</t>
  </si>
  <si>
    <t>Annual usage days</t>
  </si>
  <si>
    <t>AbstractSchedule</t>
  </si>
  <si>
    <t>temporalExtent</t>
  </si>
  <si>
    <t>Daily HVAC system operating hours</t>
  </si>
  <si>
    <t>Ventilation habits</t>
  </si>
  <si>
    <t>isMechanicallyVentilated</t>
  </si>
  <si>
    <t>Room for auditor advice regarding usage habits</t>
  </si>
  <si>
    <t>Heating usage intensity (low, medium, high)</t>
  </si>
  <si>
    <t>Cooling usage intensity (low, medium, high)</t>
  </si>
  <si>
    <t>Electricity usage intensity (low, medium, high)</t>
  </si>
  <si>
    <t>Owner satisfaction regarding room temperature</t>
  </si>
  <si>
    <t>The type of cooking (electric vs. gas)</t>
  </si>
  <si>
    <t>Module 8: Legal and finance</t>
  </si>
  <si>
    <t>Property valuations</t>
  </si>
  <si>
    <t>Property tax valuation / Official value</t>
  </si>
  <si>
    <t>Market value / Property value</t>
  </si>
  <si>
    <t>Rental value / Annual rent</t>
  </si>
  <si>
    <t>Sales transaction value / Property price paid</t>
  </si>
  <si>
    <t>Property yield (%)</t>
  </si>
  <si>
    <t>Lifecycle and maintenance costs</t>
  </si>
  <si>
    <t>expense</t>
  </si>
  <si>
    <t>Life Cycle Cost (LCC)</t>
  </si>
  <si>
    <t>Annual maintenance cost</t>
  </si>
  <si>
    <t>Renewal / Renovation cost</t>
  </si>
  <si>
    <t>Valuation metadata</t>
  </si>
  <si>
    <t>Valuation date</t>
  </si>
  <si>
    <t>Valuation method / approach</t>
  </si>
  <si>
    <t>DataAcquisitionMethodValue [0..1]</t>
  </si>
  <si>
    <t>Valuation purpose</t>
  </si>
  <si>
    <t>Valuation conducted by (name/contact)</t>
  </si>
  <si>
    <t>author</t>
  </si>
  <si>
    <t>Valuation document (linked file)</t>
  </si>
  <si>
    <t>Valuation cost (€)</t>
  </si>
  <si>
    <t>Property selling date</t>
  </si>
  <si>
    <t>Financial data collecting date / last update</t>
  </si>
  <si>
    <t>Economic observation period (years)</t>
  </si>
  <si>
    <t>referencePeriod</t>
  </si>
  <si>
    <t>ReferencePeriodValue [0..1]</t>
  </si>
  <si>
    <t>Operational energy costs</t>
  </si>
  <si>
    <t>Annual energy costs (total)</t>
  </si>
  <si>
    <t>Annual energy cost by carrier (electricity/ gas/ etc.)</t>
  </si>
  <si>
    <t>Annual energy cost by use (heating/ cooling/ DHW/ lighting)</t>
  </si>
  <si>
    <t>Annual water cost</t>
  </si>
  <si>
    <t>Building insurance cost</t>
  </si>
  <si>
    <t>OtherResource</t>
  </si>
  <si>
    <t>Certification costs (EPC/ DGNB/ BREEAM/ LEED/ etc.)</t>
  </si>
  <si>
    <t>Subsidies / Grants / Financial programs</t>
  </si>
  <si>
    <t>revenue</t>
  </si>
  <si>
    <t>Legal and property documents</t>
  </si>
  <si>
    <t>Tenancy agreement</t>
  </si>
  <si>
    <t>Insurance policy / document</t>
  </si>
  <si>
    <t>Clean soil statement</t>
  </si>
  <si>
    <t>Permits and licenses</t>
  </si>
  <si>
    <t>Building / Construction / Use permits</t>
  </si>
  <si>
    <t>Utility contracts</t>
  </si>
  <si>
    <t>Maintenance service contract / log</t>
  </si>
  <si>
    <t>Ownership information</t>
  </si>
  <si>
    <t>Owner information</t>
  </si>
  <si>
    <t>bdgOwnerName</t>
  </si>
  <si>
    <t>Tenant information</t>
  </si>
  <si>
    <t>Legal / Fiscal property registration</t>
  </si>
  <si>
    <t>Module 9: Energy performance</t>
  </si>
  <si>
    <t>Official ratings and certification</t>
  </si>
  <si>
    <t>EPC class / label</t>
  </si>
  <si>
    <t>EnergyPerformanceCertificate</t>
  </si>
  <si>
    <t>label</t>
  </si>
  <si>
    <t>CharacterString</t>
  </si>
  <si>
    <t>Numeric indicator</t>
  </si>
  <si>
    <t>value</t>
  </si>
  <si>
    <t>Certification status</t>
  </si>
  <si>
    <t>certificationMethod</t>
  </si>
  <si>
    <t>Renovation target / status</t>
  </si>
  <si>
    <t>EPC document as PDF</t>
  </si>
  <si>
    <t>Energy consumption</t>
  </si>
  <si>
    <t>Total source energy (including grid losses)</t>
  </si>
  <si>
    <t>Final / delivered energy</t>
  </si>
  <si>
    <t>Heating demand</t>
  </si>
  <si>
    <t>Cooling demand</t>
  </si>
  <si>
    <t>DHW (hot water) demand</t>
  </si>
  <si>
    <t>Lighting and aux</t>
  </si>
  <si>
    <t>Calculation type</t>
  </si>
  <si>
    <t>Energy production</t>
  </si>
  <si>
    <t>Renewable energy production</t>
  </si>
  <si>
    <t>Self-consumption ratio</t>
  </si>
  <si>
    <t>Renewable energy share (%)</t>
  </si>
  <si>
    <t>Calculation zones</t>
  </si>
  <si>
    <t>Area (or volume) per zone</t>
  </si>
  <si>
    <t>Surface area of envelope area per zone</t>
  </si>
  <si>
    <t>Module 10: Indoor environmental quality, Part I: Thermal comfort</t>
  </si>
  <si>
    <t>Temperature assessment</t>
  </si>
  <si>
    <t>Air temperature (average)</t>
  </si>
  <si>
    <t>Hours outside comfort range</t>
  </si>
  <si>
    <t>Set point temperature</t>
  </si>
  <si>
    <t>Temperature variation</t>
  </si>
  <si>
    <t>Humidity assessment</t>
  </si>
  <si>
    <t>Average indoor relative humidity</t>
  </si>
  <si>
    <t>Time with RH outside 30–60% comfort range</t>
  </si>
  <si>
    <t>PMV/PPD assessment</t>
  </si>
  <si>
    <t>Predicted mean vote (PMV)</t>
  </si>
  <si>
    <t>Predicted percentage dissatisfied (PPD)</t>
  </si>
  <si>
    <t>Hours with PPD above thresholds</t>
  </si>
  <si>
    <t>Summer comfort / overheating</t>
  </si>
  <si>
    <t>Summer thermal discomfort</t>
  </si>
  <si>
    <t>Climate resilience (2050)</t>
  </si>
  <si>
    <t>Owner satisfaction</t>
  </si>
  <si>
    <t>Module 10: Indoor environmental quality, Part II: Indoor Air Quality</t>
  </si>
  <si>
    <t>CO₂ concentration</t>
  </si>
  <si>
    <t>CO₂ concentration (average)</t>
  </si>
  <si>
    <t>Hours with CO₂ above thresholds</t>
  </si>
  <si>
    <t>Ventilation assessment</t>
  </si>
  <si>
    <t>Ventilation rate</t>
  </si>
  <si>
    <t>Ventilation system type</t>
  </si>
  <si>
    <t>Heat recovery efficiency</t>
  </si>
  <si>
    <t>Air tightness (n50/q50)</t>
  </si>
  <si>
    <t>Air quality indicator</t>
  </si>
  <si>
    <t>Pollutant concentrations</t>
  </si>
  <si>
    <t>Total volatile organic compounds (VOCs)</t>
  </si>
  <si>
    <t>CMR VOCs</t>
  </si>
  <si>
    <t>Formaldehyde</t>
  </si>
  <si>
    <t>PM2.5 / PM10</t>
  </si>
  <si>
    <t>Radon</t>
  </si>
  <si>
    <t>R-value (pollutant index)</t>
  </si>
  <si>
    <t>Outdoor air quality context</t>
  </si>
  <si>
    <t>Outdoor air quality</t>
  </si>
  <si>
    <t>Nitrogen dioxide (NO₂)</t>
  </si>
  <si>
    <t>Module 10: Indoor environmental quality, Part III: Visual comfort</t>
  </si>
  <si>
    <t xml:space="preserve">Module </t>
  </si>
  <si>
    <t>Daylight assessment</t>
  </si>
  <si>
    <t>Daylight provision</t>
  </si>
  <si>
    <t>Light (lux) level</t>
  </si>
  <si>
    <t>Light pollution</t>
  </si>
  <si>
    <t>Artificial lighting</t>
  </si>
  <si>
    <t>Lighting system type</t>
  </si>
  <si>
    <t>LightingDevice</t>
  </si>
  <si>
    <t>Installed lighting power density</t>
  </si>
  <si>
    <t>Lighting control systems</t>
  </si>
  <si>
    <t>Module 10: Indoor environmental quality, Part IV: Health and well-being indicators</t>
  </si>
  <si>
    <t>Material health</t>
  </si>
  <si>
    <t>Asbestos presence</t>
  </si>
  <si>
    <t>Material chemical declaration</t>
  </si>
  <si>
    <t>General health context</t>
  </si>
  <si>
    <t>Health comfort indicator</t>
  </si>
  <si>
    <t>Flood sensitivity</t>
  </si>
  <si>
    <t>Heat stress risk</t>
  </si>
  <si>
    <t>Module 10: Indoor environmental quality, Part V: Acoustic comfort</t>
  </si>
  <si>
    <t>Noise assessment</t>
  </si>
  <si>
    <t>Noise control (general)</t>
  </si>
  <si>
    <t>Traffic noise exposure</t>
  </si>
  <si>
    <t>Module 10: Indoor environmental quality, Part VI: Assessment method characteristics</t>
  </si>
  <si>
    <t>Data collection approach</t>
  </si>
  <si>
    <t>Requires physical measurements</t>
  </si>
  <si>
    <t>Requires dynamic simulation</t>
  </si>
  <si>
    <t>Static data entry only</t>
  </si>
  <si>
    <t>Monitoring data integration</t>
  </si>
  <si>
    <t>SensorConnectionTypeValue</t>
  </si>
  <si>
    <t>Standard references</t>
  </si>
  <si>
    <t>EN 15251 / EN 16798</t>
  </si>
  <si>
    <t>Sustainability certification link</t>
  </si>
  <si>
    <t>Module 11: Smart readiness, Part I</t>
  </si>
  <si>
    <t>SRI core indicators</t>
  </si>
  <si>
    <t>SRI result / score</t>
  </si>
  <si>
    <t>SRI class (A–F rating)</t>
  </si>
  <si>
    <t>SRI weighting factors (KF1–KF3)</t>
  </si>
  <si>
    <t>SRI report / document</t>
  </si>
  <si>
    <t>E-mobility and EV charging</t>
  </si>
  <si>
    <t>EV charging infrastructure (yes / no)</t>
  </si>
  <si>
    <t>EVChargingStation</t>
  </si>
  <si>
    <t>Number of EV charging points</t>
  </si>
  <si>
    <t>Total parking spaces</t>
  </si>
  <si>
    <t>Pre-cabled recharging stations</t>
  </si>
  <si>
    <t>EV charging station types (private / public)</t>
  </si>
  <si>
    <t>EV charging types (grid / non-grid / market)</t>
  </si>
  <si>
    <t>Code</t>
  </si>
  <si>
    <t>EV charging capacity (kW)</t>
  </si>
  <si>
    <t>chargingSpeedLevel</t>
  </si>
  <si>
    <t>EVChargingSpeedLevelValue [0..1]</t>
  </si>
  <si>
    <t>connectorType</t>
  </si>
  <si>
    <t>EVChargingConnectorTypeValue [0..1]</t>
  </si>
  <si>
    <t>EV grid balancing</t>
  </si>
  <si>
    <t>EV charging information and connectivity</t>
  </si>
  <si>
    <t>Energy storage and load shifting</t>
  </si>
  <si>
    <t>Storage of locally generated energy</t>
  </si>
  <si>
    <t>Electrical storage system</t>
  </si>
  <si>
    <t>ElectricalStorageDevice</t>
  </si>
  <si>
    <t>batteryTechnology</t>
  </si>
  <si>
    <t>BatteryTechnologyTypeValue [0..1]</t>
  </si>
  <si>
    <t>powerCapacity</t>
  </si>
  <si>
    <t>Heating system thermal storage / shifting</t>
  </si>
  <si>
    <t>ThermalStorageDevice</t>
  </si>
  <si>
    <t>Cooling system thermal storage / shifting</t>
  </si>
  <si>
    <t>Control of DHW storage charging</t>
  </si>
  <si>
    <t>Optimising self-consumption</t>
  </si>
  <si>
    <t>Grid integration and demand response</t>
  </si>
  <si>
    <t>Smart grid integration</t>
  </si>
  <si>
    <t>UtilityNetworkConnection</t>
  </si>
  <si>
    <t>networkType</t>
  </si>
  <si>
    <t>NetworkTypeValue</t>
  </si>
  <si>
    <t>Demand response potential</t>
  </si>
  <si>
    <t>Occupant participation in DR events</t>
  </si>
  <si>
    <t>Module 11: Smart readiness, Part II</t>
  </si>
  <si>
    <t>Building automation and control (BACS)</t>
  </si>
  <si>
    <t>BACS description</t>
  </si>
  <si>
    <t>Control system for heating (class)</t>
  </si>
  <si>
    <t>Control system for cooling (class)</t>
  </si>
  <si>
    <t>Emission control for TABS</t>
  </si>
  <si>
    <t>Control of distribution heat temperature</t>
  </si>
  <si>
    <t>supplyTemperature</t>
  </si>
  <si>
    <t>Control of distribution pumps</t>
  </si>
  <si>
    <t>nominalFlow</t>
  </si>
  <si>
    <t>Intermittent control</t>
  </si>
  <si>
    <t>CHP control</t>
  </si>
  <si>
    <t>Technical building management systems</t>
  </si>
  <si>
    <t>connectionType</t>
  </si>
  <si>
    <t>IoT sensors and monitoring</t>
  </si>
  <si>
    <t>Sensors for energy consumption (HVAC / lighting)</t>
  </si>
  <si>
    <t>Sensors for air temperature / humidity / presence</t>
  </si>
  <si>
    <t>IoT continuous vibration sensors</t>
  </si>
  <si>
    <t>IoT weather station data</t>
  </si>
  <si>
    <t>WeatherData</t>
  </si>
  <si>
    <t>WeatherDataTypeValue</t>
  </si>
  <si>
    <t>Self-attentive sensing configuration</t>
  </si>
  <si>
    <t>Fault detection and structural health</t>
  </si>
  <si>
    <t>Fault detection of sensors</t>
  </si>
  <si>
    <t>Alerts / warnings for anomalies</t>
  </si>
  <si>
    <t>SHM thresholds</t>
  </si>
  <si>
    <t>District and external integration</t>
  </si>
  <si>
    <t>Smart district potential / indicators</t>
  </si>
  <si>
    <t>Building energy model (BEM)</t>
  </si>
  <si>
    <t>Climate and resilience</t>
  </si>
  <si>
    <t>Solar potential (roofs / facades)</t>
  </si>
  <si>
    <t>Climate resilience potential</t>
  </si>
  <si>
    <t>Metering and data collection</t>
  </si>
  <si>
    <t>Digital energy meters</t>
  </si>
  <si>
    <t>Data collection timestamp</t>
  </si>
  <si>
    <t>Module 12: Renovation advice</t>
  </si>
  <si>
    <t>Only general recommendation to include renovation data</t>
  </si>
  <si>
    <t>Administrative (step) information</t>
  </si>
  <si>
    <t>Renovation measure proposals on specific elements</t>
  </si>
  <si>
    <t>Textual renovation (stage) description</t>
  </si>
  <si>
    <t>Year of this renovation/ stage</t>
  </si>
  <si>
    <t>Attachable documents which relate to the renovation</t>
  </si>
  <si>
    <t>Achieved/ desired renovation depth (descriptive)</t>
  </si>
  <si>
    <t>Energy &amp; resource consumption improvements</t>
  </si>
  <si>
    <t>Resource consumption (kWh) vs. pre-renovation</t>
  </si>
  <si>
    <t>Energy label before/after (letter or colour)</t>
  </si>
  <si>
    <t>Resource demand (kW) vs. pre-renovation</t>
  </si>
  <si>
    <t>maximumLoad</t>
  </si>
  <si>
    <t>Energy efficiency before / after renovation</t>
  </si>
  <si>
    <t>Finances</t>
  </si>
  <si>
    <t>Investment costs per measure/ step</t>
  </si>
  <si>
    <t>Current total energy costs per year</t>
  </si>
  <si>
    <t>Business as usual costs (or if it can be derived)</t>
  </si>
  <si>
    <t>Public funding program details</t>
  </si>
  <si>
    <t>Public funding investment amount (available)</t>
  </si>
  <si>
    <t>Overall total investment costs (staged or all at once)</t>
  </si>
  <si>
    <t>Tax incentive (name)</t>
  </si>
  <si>
    <t>Reasoning &amp; timelining</t>
  </si>
  <si>
    <t>Renovation measure priority level</t>
  </si>
  <si>
    <t>Motivation on why this specific measure is necessary**</t>
  </si>
  <si>
    <t>Estimation of the renovation works time**</t>
  </si>
  <si>
    <t>The first/best opportunity to do this renovation**</t>
  </si>
  <si>
    <t>Ideal season for executing the renovation step**</t>
  </si>
  <si>
    <t>Non monetary benefits</t>
  </si>
  <si>
    <t>Indication of new thermal comfort**</t>
  </si>
  <si>
    <t>Descriptive explanation of other non-monetary benefits**</t>
  </si>
  <si>
    <t>Negatives</t>
  </si>
  <si>
    <t>Constraints that limit/block certain renovations</t>
  </si>
  <si>
    <t>Estimation of users' disruption**</t>
  </si>
  <si>
    <t>Renovation risks (e.g. mold growth if not done properly)</t>
  </si>
  <si>
    <t>Module 13: Ancillary data &amp; context</t>
  </si>
  <si>
    <t>Climate zone/ locality</t>
  </si>
  <si>
    <t>WeatherStation</t>
  </si>
  <si>
    <t>UrbanFunctionArea</t>
  </si>
  <si>
    <t>area</t>
  </si>
  <si>
    <t>District heat network connection availability</t>
  </si>
  <si>
    <t>Green-blue level / climate resilience</t>
  </si>
  <si>
    <t>Associated cadastral parcel details</t>
  </si>
  <si>
    <t>The type of soil/terrain</t>
  </si>
  <si>
    <t>Textual description of the building's surroundings</t>
  </si>
  <si>
    <t>External noise pollution</t>
  </si>
  <si>
    <t>Soil/ground cleanliness/ contamination details</t>
  </si>
  <si>
    <t>Drinkwater connection availability</t>
  </si>
  <si>
    <t>Flood susceptibility</t>
  </si>
  <si>
    <t>Sewerage available &amp; details on the current connection</t>
  </si>
  <si>
    <t>Whether a building is (dis)connected to/from gas</t>
  </si>
  <si>
    <t>Energy community access availability</t>
  </si>
  <si>
    <t>Groundwater well availability</t>
  </si>
  <si>
    <t>Heat stress</t>
  </si>
  <si>
    <t>Mobility details, like public transport options</t>
  </si>
  <si>
    <t>Space &amp; greenery details</t>
  </si>
  <si>
    <t>Radiation (by wireless internet and telecom antennas)</t>
  </si>
  <si>
    <t>Perceived light (pollution) at night</t>
  </si>
  <si>
    <t>Spatial planning of own and surrounding plots</t>
  </si>
  <si>
    <t>Immovable heritage of own and surrounding buildings</t>
  </si>
  <si>
    <t>Whether a building is, or can be connected to electricity</t>
  </si>
  <si>
    <t>The communication types available/connected (e.g. 5G)</t>
  </si>
  <si>
    <t>Regulations in force at the time of construction</t>
  </si>
  <si>
    <t>occupancySchedule</t>
  </si>
  <si>
    <t>heatingSchedule</t>
  </si>
  <si>
    <t>coolingSchedule</t>
  </si>
  <si>
    <t>mechanicalVentilationSchedule</t>
  </si>
  <si>
    <t>Weather Station</t>
  </si>
  <si>
    <t>Time series</t>
  </si>
  <si>
    <t>Weather station</t>
  </si>
  <si>
    <t>Urban Function Area</t>
  </si>
  <si>
    <t>Water</t>
  </si>
  <si>
    <t>EnergyTypeValue</t>
  </si>
  <si>
    <t>endUse</t>
  </si>
  <si>
    <t>EnergyEndUseValue</t>
  </si>
  <si>
    <t>operationType</t>
  </si>
  <si>
    <t>ResourceOperationTypeValue</t>
  </si>
  <si>
    <t>AbstractCityObjectSpace</t>
  </si>
  <si>
    <t>volume</t>
  </si>
  <si>
    <t>_BoundarySurface</t>
  </si>
  <si>
    <t>EPCStatusValue</t>
  </si>
  <si>
    <t>URI [0..1]</t>
  </si>
  <si>
    <t>yearlyValue</t>
  </si>
  <si>
    <t>_CityObject</t>
  </si>
  <si>
    <t>_AbstractBuilding</t>
  </si>
  <si>
    <t>_Opening</t>
  </si>
  <si>
    <t>GM_Point [0..1]</t>
  </si>
  <si>
    <t>LiquidTypeValue [0..1]</t>
  </si>
  <si>
    <t>GasTypeValue [0..1]</t>
  </si>
  <si>
    <t>TM_IntervalLength [0..1]</t>
  </si>
  <si>
    <t>BuildingTypeValue [0..1]</t>
  </si>
  <si>
    <t>accessType</t>
  </si>
  <si>
    <t>EVChargingAccessTypeValue [0..1]</t>
  </si>
  <si>
    <t>hasLoadManagement</t>
  </si>
  <si>
    <t>schedule</t>
  </si>
  <si>
    <t>NetworkConnectionStatusValue [0..1]</t>
  </si>
  <si>
    <t>ExternalObjectReference</t>
  </si>
  <si>
    <t>URI</t>
  </si>
  <si>
    <t>Waste</t>
  </si>
  <si>
    <t>WasteTypeValue</t>
  </si>
  <si>
    <t>isRecyclable</t>
  </si>
  <si>
    <t>RegularTimeSeries</t>
  </si>
  <si>
    <t>startTimestamp</t>
  </si>
  <si>
    <t>DateTime</t>
  </si>
  <si>
    <t>endTimestamp</t>
  </si>
  <si>
    <t>N/A (existence of instance)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</si>
</sst>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82A2C"/>
      <name val="Calibri"/>
      <family val="2"/>
      <scheme val="minor"/>
    </font>
    <font>
      <sz val="11"/>
      <color theme="1"/>
      <name val="Calibri"/>
      <charset val="1"/>
    </font>
    <font>
      <sz val="11"/>
      <color theme="1"/>
      <name val="Calibri  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282A2C"/>
      <name val="Calibri"/>
      <scheme val="minor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9" fontId="0" fillId="0" borderId="0" xfId="1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 textRotation="45" wrapText="1"/>
    </xf>
    <xf numFmtId="0" fontId="5" fillId="0" borderId="0" xfId="0" applyFont="1" applyAlignment="1">
      <alignment wrapText="1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wrapText="1"/>
    </xf>
    <xf numFmtId="9" fontId="0" fillId="2" borderId="0" xfId="1" applyFont="1" applyFill="1" applyAlignment="1">
      <alignment horizontal="center"/>
    </xf>
    <xf numFmtId="0" fontId="6" fillId="0" borderId="0" xfId="0" applyFont="1" applyAlignment="1">
      <alignment readingOrder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textRotation="45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center" readingOrder="1"/>
    </xf>
    <xf numFmtId="0" fontId="4" fillId="0" borderId="0" xfId="0" applyFont="1" applyAlignment="1">
      <alignment readingOrder="1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readingOrder="1"/>
    </xf>
    <xf numFmtId="0" fontId="0" fillId="0" borderId="0" xfId="0" applyAlignment="1">
      <alignment readingOrder="1"/>
    </xf>
    <xf numFmtId="0" fontId="0" fillId="0" borderId="0" xfId="0" applyAlignment="1">
      <alignment horizontal="center" wrapText="1" readingOrder="1"/>
    </xf>
    <xf numFmtId="0" fontId="0" fillId="0" borderId="0" xfId="0" applyAlignment="1">
      <alignment wrapText="1" readingOrder="1"/>
    </xf>
    <xf numFmtId="0" fontId="4" fillId="2" borderId="0" xfId="0" applyFont="1" applyFill="1" applyAlignment="1">
      <alignment horizontal="center"/>
    </xf>
    <xf numFmtId="9" fontId="0" fillId="2" borderId="0" xfId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10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readingOrder="1"/>
    </xf>
    <xf numFmtId="0" fontId="0" fillId="0" borderId="0" xfId="0" applyAlignment="1">
      <alignment horizontal="center" vertical="top"/>
    </xf>
    <xf numFmtId="0" fontId="9" fillId="0" borderId="0" xfId="0" applyFont="1" applyAlignment="1">
      <alignment readingOrder="1"/>
    </xf>
    <xf numFmtId="9" fontId="0" fillId="0" borderId="0" xfId="1" applyFont="1" applyFill="1" applyAlignment="1">
      <alignment horizontal="center"/>
    </xf>
    <xf numFmtId="0" fontId="0" fillId="0" borderId="0" xfId="0" applyAlignment="1">
      <alignment vertical="top" wrapText="1"/>
    </xf>
    <xf numFmtId="9" fontId="11" fillId="0" borderId="0" xfId="1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textRotation="45"/>
    </xf>
    <xf numFmtId="0" fontId="11" fillId="0" borderId="0" xfId="0" applyFont="1" applyAlignment="1">
      <alignment horizontal="center" vertical="center" textRotation="45" wrapText="1"/>
    </xf>
    <xf numFmtId="0" fontId="11" fillId="0" borderId="0" xfId="0" applyFont="1"/>
    <xf numFmtId="0" fontId="13" fillId="0" borderId="0" xfId="0" applyFont="1" applyAlignment="1">
      <alignment readingOrder="1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vertical="top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wrapText="1" readingOrder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3" fillId="0" borderId="0" xfId="0" quotePrefix="1" applyFont="1" applyAlignment="1">
      <alignment readingOrder="1"/>
    </xf>
    <xf numFmtId="0" fontId="11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1" fillId="0" borderId="0" xfId="0" applyFont="1" applyFill="1"/>
    <xf numFmtId="0" fontId="13" fillId="0" borderId="0" xfId="0" applyFont="1" applyFill="1" applyAlignment="1">
      <alignment readingOrder="1"/>
    </xf>
    <xf numFmtId="0" fontId="0" fillId="0" borderId="0" xfId="0" applyFill="1"/>
    <xf numFmtId="0" fontId="11" fillId="0" borderId="0" xfId="0" applyFont="1" applyFill="1" applyAlignment="1">
      <alignment horizontal="center"/>
    </xf>
    <xf numFmtId="0" fontId="12" fillId="2" borderId="0" xfId="0" applyFont="1" applyFill="1"/>
    <xf numFmtId="0" fontId="11" fillId="2" borderId="0" xfId="0" applyFont="1" applyFill="1" applyAlignment="1">
      <alignment horizontal="center"/>
    </xf>
    <xf numFmtId="9" fontId="11" fillId="2" borderId="0" xfId="1" applyFont="1" applyFill="1" applyBorder="1" applyAlignment="1">
      <alignment horizontal="center"/>
    </xf>
    <xf numFmtId="0" fontId="11" fillId="2" borderId="0" xfId="0" applyFont="1" applyFill="1"/>
    <xf numFmtId="0" fontId="13" fillId="2" borderId="0" xfId="0" applyFont="1" applyFill="1" applyAlignment="1">
      <alignment readingOrder="1"/>
    </xf>
    <xf numFmtId="0" fontId="0" fillId="0" borderId="0" xfId="0" applyFill="1" applyAlignment="1">
      <alignment horizontal="center" vertical="center" textRotation="45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13" fillId="0" borderId="0" xfId="0" applyFont="1" applyAlignment="1">
      <alignment horizontal="left" readingOrder="1"/>
    </xf>
    <xf numFmtId="0" fontId="13" fillId="2" borderId="0" xfId="0" applyFont="1" applyFill="1" applyAlignment="1">
      <alignment horizontal="left" readingOrder="1"/>
    </xf>
    <xf numFmtId="0" fontId="14" fillId="0" borderId="0" xfId="0" applyFont="1" applyFill="1" applyAlignment="1">
      <alignment horizontal="center"/>
    </xf>
    <xf numFmtId="0" fontId="13" fillId="0" borderId="0" xfId="0" applyFont="1" applyFill="1" applyAlignment="1">
      <alignment horizontal="left" readingOrder="1"/>
    </xf>
    <xf numFmtId="0" fontId="17" fillId="0" borderId="0" xfId="0" applyFont="1" applyAlignment="1">
      <alignment vertical="top"/>
    </xf>
    <xf numFmtId="0" fontId="0" fillId="0" borderId="0" xfId="0" applyFont="1"/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0" borderId="0" xfId="0" applyAlignment="1"/>
    <xf numFmtId="9" fontId="11" fillId="0" borderId="0" xfId="1" applyNumberFormat="1" applyFont="1" applyFill="1" applyBorder="1" applyAlignment="1">
      <alignment horizontal="center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Medium9"/>
  <colors>
    <mruColors>
      <color rgb="FFFBD5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296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936DD3-2DF8-40F6-A301-970C9073E6B4}">
  <we:reference id="wa200009404" version="1.0.0.8" store="nl-NL" storeType="OMEX"/>
  <we:alternateReferences>
    <we:reference id="wa200009404" version="1.0.0.8" store="wa200009404" storeType="OMEX"/>
  </we:alternateReferences>
  <we:properties>
    <we:property name="claude.fileId" value="&quot;4ca0f6d7-cc25-4d0d-9a77-a1b571d8620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7AB6-5F71-4960-BE10-8B13FFF15B1F}">
  <sheetPr codeName="Sheet14"/>
  <dimension ref="A1:P4"/>
  <sheetViews>
    <sheetView topLeftCell="B1" zoomScale="115" zoomScaleNormal="115" workbookViewId="0">
      <selection activeCell="B5" sqref="B5:P11"/>
    </sheetView>
  </sheetViews>
  <sheetFormatPr defaultRowHeight="14.6"/>
  <cols>
    <col min="1" max="1" width="50.69140625" customWidth="1"/>
    <col min="2" max="16" width="13.69140625" customWidth="1"/>
  </cols>
  <sheetData>
    <row r="1" spans="1:16" ht="7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spans="1:16">
      <c r="A3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"/>
    </row>
    <row r="4" spans="1:16">
      <c r="A4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26DB-94D6-4EDA-AAFC-9001EC7A02A7}">
  <sheetPr codeName="Sheet3"/>
  <dimension ref="A1:U11"/>
  <sheetViews>
    <sheetView zoomScale="70" zoomScaleNormal="70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S15" sqref="S15"/>
    </sheetView>
  </sheetViews>
  <sheetFormatPr defaultColWidth="9.3046875" defaultRowHeight="15" customHeight="1"/>
  <cols>
    <col min="1" max="1" width="50.69140625" customWidth="1"/>
    <col min="2" max="16" width="13.69140625" customWidth="1"/>
    <col min="17" max="18" width="20.69140625" style="2" customWidth="1"/>
    <col min="19" max="20" width="20.69140625" customWidth="1"/>
    <col min="21" max="21" width="24.69140625" customWidth="1"/>
    <col min="22" max="22" width="16.69140625" customWidth="1"/>
    <col min="24" max="26" width="16.69140625" customWidth="1"/>
  </cols>
  <sheetData>
    <row r="1" spans="1:21" ht="75" customHeight="1">
      <c r="A1" s="7" t="s">
        <v>19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20</v>
      </c>
      <c r="N1" s="3" t="s">
        <v>13</v>
      </c>
      <c r="O1" s="3" t="s">
        <v>14</v>
      </c>
      <c r="P1" s="3" t="s">
        <v>15</v>
      </c>
      <c r="Q1" s="14" t="s">
        <v>21</v>
      </c>
      <c r="R1" s="14" t="s">
        <v>22</v>
      </c>
      <c r="S1" s="3" t="s">
        <v>23</v>
      </c>
      <c r="T1" s="3" t="s">
        <v>24</v>
      </c>
      <c r="U1" s="3" t="s">
        <v>25</v>
      </c>
    </row>
    <row r="2" spans="1:21" ht="14.6">
      <c r="A2" s="11" t="s">
        <v>26</v>
      </c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>
        <f>COUNTIF(B2:N2,"✔")</f>
        <v>13</v>
      </c>
      <c r="P2" s="1">
        <f>O2/13</f>
        <v>1</v>
      </c>
      <c r="Q2" s="2" t="s">
        <v>28</v>
      </c>
      <c r="R2" s="2" t="s">
        <v>29</v>
      </c>
      <c r="S2" s="22" t="s">
        <v>30</v>
      </c>
      <c r="T2" s="23" t="s">
        <v>31</v>
      </c>
      <c r="U2" s="21" t="s">
        <v>31</v>
      </c>
    </row>
    <row r="3" spans="1:21" ht="14.6">
      <c r="A3" s="11" t="s">
        <v>32</v>
      </c>
      <c r="B3" s="2" t="s">
        <v>27</v>
      </c>
      <c r="C3" s="5" t="s">
        <v>33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5" t="s">
        <v>33</v>
      </c>
      <c r="O3" s="2">
        <f>COUNTIF(B3:N3,"✔")</f>
        <v>11</v>
      </c>
      <c r="P3" s="1">
        <f t="shared" ref="P3:P11" si="0">O3/13</f>
        <v>0.84615384615384615</v>
      </c>
      <c r="Q3" s="2" t="s">
        <v>34</v>
      </c>
      <c r="R3" s="2" t="s">
        <v>29</v>
      </c>
      <c r="S3" s="22" t="s">
        <v>694</v>
      </c>
      <c r="T3" s="23" t="s">
        <v>296</v>
      </c>
      <c r="U3" s="21" t="s">
        <v>35</v>
      </c>
    </row>
    <row r="4" spans="1:21" ht="14.6">
      <c r="A4" s="11" t="s">
        <v>36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5" t="s">
        <v>33</v>
      </c>
      <c r="K4" s="2" t="s">
        <v>27</v>
      </c>
      <c r="L4" s="2" t="s">
        <v>27</v>
      </c>
      <c r="M4" s="2" t="s">
        <v>27</v>
      </c>
      <c r="N4" s="2" t="s">
        <v>27</v>
      </c>
      <c r="O4" s="2">
        <f>COUNTIF(B4:N4,"✔")</f>
        <v>12</v>
      </c>
      <c r="P4" s="1">
        <f t="shared" si="0"/>
        <v>0.92307692307692313</v>
      </c>
      <c r="Q4" s="2" t="s">
        <v>34</v>
      </c>
      <c r="R4" s="2" t="s">
        <v>37</v>
      </c>
      <c r="S4" s="22" t="s">
        <v>695</v>
      </c>
      <c r="T4" s="23" t="s">
        <v>435</v>
      </c>
      <c r="U4" s="21" t="s">
        <v>38</v>
      </c>
    </row>
    <row r="5" spans="1:21" ht="14.6">
      <c r="A5" s="11"/>
      <c r="B5" s="2"/>
      <c r="C5" s="2"/>
      <c r="D5" s="2"/>
      <c r="E5" s="2"/>
      <c r="F5" s="2"/>
      <c r="G5" s="2"/>
      <c r="H5" s="2"/>
      <c r="I5" s="2"/>
      <c r="J5" s="5"/>
      <c r="K5" s="2"/>
      <c r="L5" s="2"/>
      <c r="M5" s="5"/>
      <c r="N5" s="2"/>
      <c r="O5" s="2"/>
      <c r="P5" s="1"/>
      <c r="Q5" s="2" t="s">
        <v>34</v>
      </c>
      <c r="R5" s="2" t="s">
        <v>37</v>
      </c>
      <c r="S5" s="22" t="s">
        <v>695</v>
      </c>
      <c r="T5" s="23" t="s">
        <v>39</v>
      </c>
      <c r="U5" s="21" t="s">
        <v>40</v>
      </c>
    </row>
    <row r="6" spans="1:21" ht="14.6">
      <c r="A6" s="11" t="s">
        <v>41</v>
      </c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2" t="s">
        <v>27</v>
      </c>
      <c r="H6" s="2" t="s">
        <v>27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33</v>
      </c>
      <c r="N6" s="5" t="s">
        <v>33</v>
      </c>
      <c r="O6" s="2">
        <f>COUNTIF(B6:N6,"✔")</f>
        <v>7</v>
      </c>
      <c r="P6" s="1">
        <f t="shared" si="0"/>
        <v>0.53846153846153844</v>
      </c>
      <c r="Q6" s="2" t="s">
        <v>34</v>
      </c>
      <c r="R6" s="2" t="s">
        <v>29</v>
      </c>
      <c r="S6" s="22" t="s">
        <v>694</v>
      </c>
      <c r="T6" s="23" t="s">
        <v>42</v>
      </c>
      <c r="U6" s="21" t="s">
        <v>697</v>
      </c>
    </row>
    <row r="7" spans="1:21" ht="14.6">
      <c r="A7" s="11" t="s">
        <v>43</v>
      </c>
      <c r="B7" s="2" t="s">
        <v>27</v>
      </c>
      <c r="C7" s="2" t="s">
        <v>27</v>
      </c>
      <c r="D7" s="5" t="s">
        <v>33</v>
      </c>
      <c r="E7" s="2" t="s">
        <v>27</v>
      </c>
      <c r="F7" s="5" t="s">
        <v>33</v>
      </c>
      <c r="G7" s="2" t="s">
        <v>27</v>
      </c>
      <c r="H7" s="5" t="s">
        <v>33</v>
      </c>
      <c r="I7" s="2" t="s">
        <v>27</v>
      </c>
      <c r="J7" s="2" t="s">
        <v>27</v>
      </c>
      <c r="K7" s="2" t="s">
        <v>27</v>
      </c>
      <c r="L7" s="5" t="s">
        <v>33</v>
      </c>
      <c r="M7" s="5" t="s">
        <v>33</v>
      </c>
      <c r="N7" s="2" t="s">
        <v>27</v>
      </c>
      <c r="O7" s="2">
        <f>COUNTIF(B7:N7,"✔")</f>
        <v>8</v>
      </c>
      <c r="P7" s="1">
        <f t="shared" si="0"/>
        <v>0.61538461538461542</v>
      </c>
      <c r="Q7" s="2" t="s">
        <v>34</v>
      </c>
      <c r="R7" s="9" t="s">
        <v>44</v>
      </c>
      <c r="S7" s="21" t="s">
        <v>45</v>
      </c>
      <c r="T7" s="21" t="s">
        <v>31</v>
      </c>
      <c r="U7" s="21" t="s">
        <v>31</v>
      </c>
    </row>
    <row r="8" spans="1:21" ht="14.6">
      <c r="A8" s="11" t="s">
        <v>46</v>
      </c>
      <c r="B8" s="5" t="s">
        <v>33</v>
      </c>
      <c r="C8" s="5" t="s">
        <v>33</v>
      </c>
      <c r="D8" s="2" t="s">
        <v>27</v>
      </c>
      <c r="E8" s="2" t="s">
        <v>27</v>
      </c>
      <c r="F8" s="2" t="s">
        <v>27</v>
      </c>
      <c r="G8" s="5" t="s">
        <v>33</v>
      </c>
      <c r="H8" s="2" t="s">
        <v>27</v>
      </c>
      <c r="I8" s="5" t="s">
        <v>33</v>
      </c>
      <c r="J8" s="2" t="s">
        <v>27</v>
      </c>
      <c r="K8" s="2" t="s">
        <v>27</v>
      </c>
      <c r="L8" s="2" t="s">
        <v>27</v>
      </c>
      <c r="M8" s="5" t="s">
        <v>33</v>
      </c>
      <c r="N8" s="5" t="s">
        <v>33</v>
      </c>
      <c r="O8" s="2">
        <f>COUNTIF(B8:N8,"✔")</f>
        <v>7</v>
      </c>
      <c r="P8" s="1">
        <f t="shared" si="0"/>
        <v>0.53846153846153844</v>
      </c>
      <c r="Q8" s="2" t="s">
        <v>34</v>
      </c>
      <c r="R8" s="2" t="s">
        <v>37</v>
      </c>
      <c r="S8" s="21" t="s">
        <v>47</v>
      </c>
      <c r="T8" s="21" t="s">
        <v>48</v>
      </c>
      <c r="U8" s="21"/>
    </row>
    <row r="9" spans="1:21" ht="14.6">
      <c r="A9" s="11" t="s">
        <v>49</v>
      </c>
      <c r="B9" s="5" t="s">
        <v>33</v>
      </c>
      <c r="C9" s="5" t="s">
        <v>33</v>
      </c>
      <c r="D9" s="2" t="s">
        <v>27</v>
      </c>
      <c r="E9" s="2" t="s">
        <v>27</v>
      </c>
      <c r="F9" s="5" t="s">
        <v>33</v>
      </c>
      <c r="G9" s="2" t="s">
        <v>27</v>
      </c>
      <c r="H9" s="5" t="s">
        <v>33</v>
      </c>
      <c r="I9" s="2" t="s">
        <v>27</v>
      </c>
      <c r="J9" s="2" t="s">
        <v>27</v>
      </c>
      <c r="K9" s="2" t="s">
        <v>27</v>
      </c>
      <c r="L9" s="5" t="s">
        <v>33</v>
      </c>
      <c r="M9" s="5" t="s">
        <v>33</v>
      </c>
      <c r="N9" s="2" t="s">
        <v>27</v>
      </c>
      <c r="O9" s="2">
        <f>COUNTIF(B9:N9,"✔")</f>
        <v>7</v>
      </c>
      <c r="P9" s="1">
        <f t="shared" si="0"/>
        <v>0.53846153846153844</v>
      </c>
      <c r="Q9" s="2" t="s">
        <v>34</v>
      </c>
      <c r="R9" s="2" t="s">
        <v>29</v>
      </c>
      <c r="S9" s="22" t="s">
        <v>50</v>
      </c>
      <c r="T9" s="21" t="s">
        <v>51</v>
      </c>
      <c r="U9" s="21" t="s">
        <v>68</v>
      </c>
    </row>
    <row r="10" spans="1:21" ht="14.6">
      <c r="A10" s="11"/>
      <c r="B10" s="5"/>
      <c r="C10" s="5"/>
      <c r="D10" s="2"/>
      <c r="E10" s="2"/>
      <c r="F10" s="5"/>
      <c r="G10" s="2"/>
      <c r="H10" s="5"/>
      <c r="I10" s="2"/>
      <c r="J10" s="2"/>
      <c r="K10" s="2"/>
      <c r="L10" s="5"/>
      <c r="M10" s="5"/>
      <c r="N10" s="2"/>
      <c r="O10" s="2"/>
      <c r="P10" s="1"/>
      <c r="Q10" s="2" t="s">
        <v>34</v>
      </c>
      <c r="R10" s="2" t="s">
        <v>29</v>
      </c>
      <c r="S10" s="22" t="s">
        <v>50</v>
      </c>
      <c r="T10" s="21" t="s">
        <v>53</v>
      </c>
      <c r="U10" s="21" t="s">
        <v>68</v>
      </c>
    </row>
    <row r="11" spans="1:21" ht="14.6">
      <c r="A11" s="11" t="s">
        <v>54</v>
      </c>
      <c r="B11" s="5" t="s">
        <v>33</v>
      </c>
      <c r="C11" s="5" t="s">
        <v>33</v>
      </c>
      <c r="D11" s="2" t="s">
        <v>27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33</v>
      </c>
      <c r="K11" s="2" t="s">
        <v>27</v>
      </c>
      <c r="L11" s="5" t="s">
        <v>33</v>
      </c>
      <c r="M11" s="2" t="s">
        <v>27</v>
      </c>
      <c r="N11" s="2" t="s">
        <v>27</v>
      </c>
      <c r="O11" s="2">
        <f>COUNTIF(B11:N11,"✔")</f>
        <v>4</v>
      </c>
      <c r="P11" s="1">
        <f t="shared" si="0"/>
        <v>0.30769230769230771</v>
      </c>
      <c r="R11" s="5" t="s">
        <v>33</v>
      </c>
      <c r="S11" s="21"/>
      <c r="T11" s="21"/>
      <c r="U11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6CD81-C8EF-42B0-AE64-A44D8E220DD4}">
  <sheetPr codeName="Sheet2"/>
  <dimension ref="A1:U33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ColWidth="9.3046875" defaultRowHeight="15" customHeight="1"/>
  <cols>
    <col min="1" max="1" width="50.69140625" style="27" customWidth="1"/>
    <col min="2" max="16" width="13.69140625" style="27" customWidth="1"/>
    <col min="17" max="18" width="20.69140625" style="28" customWidth="1"/>
    <col min="19" max="21" width="20.69140625" style="27" customWidth="1"/>
    <col min="22" max="23" width="6.69140625" style="27" customWidth="1"/>
    <col min="24" max="16384" width="9.3046875" style="27"/>
  </cols>
  <sheetData>
    <row r="1" spans="1:21" ht="75" customHeight="1">
      <c r="A1" s="4" t="s">
        <v>55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20</v>
      </c>
      <c r="N1" s="3" t="s">
        <v>13</v>
      </c>
      <c r="O1" s="3" t="s">
        <v>14</v>
      </c>
      <c r="P1" s="3" t="s">
        <v>15</v>
      </c>
      <c r="Q1" s="14" t="s">
        <v>21</v>
      </c>
      <c r="R1" s="14" t="s">
        <v>22</v>
      </c>
      <c r="S1" s="3" t="s">
        <v>23</v>
      </c>
      <c r="T1" s="3" t="s">
        <v>24</v>
      </c>
      <c r="U1" s="3" t="s">
        <v>25</v>
      </c>
    </row>
    <row r="2" spans="1:21" ht="14.7" customHeight="1">
      <c r="A2" t="s">
        <v>56</v>
      </c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27</v>
      </c>
      <c r="M2" s="2" t="s">
        <v>27</v>
      </c>
      <c r="N2" s="2" t="s">
        <v>27</v>
      </c>
      <c r="O2" s="2">
        <f>COUNTIF(B2:N2,"✔")</f>
        <v>13</v>
      </c>
      <c r="P2" s="1">
        <f>O2/13</f>
        <v>1</v>
      </c>
      <c r="Q2" s="2" t="s">
        <v>28</v>
      </c>
      <c r="R2" s="2" t="s">
        <v>37</v>
      </c>
      <c r="S2" s="21" t="s">
        <v>695</v>
      </c>
      <c r="T2" s="29" t="s">
        <v>57</v>
      </c>
      <c r="U2" s="29" t="s">
        <v>58</v>
      </c>
    </row>
    <row r="3" spans="1:21" ht="14.7" customHeight="1">
      <c r="A3" t="s">
        <v>59</v>
      </c>
      <c r="B3" s="5" t="s">
        <v>33</v>
      </c>
      <c r="C3" s="5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2" t="s">
        <v>27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2">
        <f>COUNTIF(B3:N3,"✔")</f>
        <v>1</v>
      </c>
      <c r="P3" s="1">
        <f t="shared" ref="P3:P33" si="0">O3/13</f>
        <v>7.6923076923076927E-2</v>
      </c>
      <c r="Q3" s="2" t="s">
        <v>28</v>
      </c>
      <c r="R3" s="2" t="s">
        <v>37</v>
      </c>
      <c r="S3" s="21" t="s">
        <v>695</v>
      </c>
      <c r="T3" s="29" t="s">
        <v>60</v>
      </c>
      <c r="U3" s="29" t="s">
        <v>58</v>
      </c>
    </row>
    <row r="4" spans="1:21" ht="14.7" customHeight="1">
      <c r="A4" t="s">
        <v>61</v>
      </c>
      <c r="B4" s="2" t="s">
        <v>27</v>
      </c>
      <c r="C4" s="2" t="s">
        <v>27</v>
      </c>
      <c r="D4" s="2" t="s">
        <v>27</v>
      </c>
      <c r="E4" s="2" t="s">
        <v>27</v>
      </c>
      <c r="F4" s="5" t="s">
        <v>33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5" t="s">
        <v>33</v>
      </c>
      <c r="M4" s="2" t="s">
        <v>27</v>
      </c>
      <c r="N4" s="2" t="s">
        <v>27</v>
      </c>
      <c r="O4" s="2">
        <f t="shared" ref="O4:O33" si="1">COUNTIF(B4:N4,"✔")</f>
        <v>11</v>
      </c>
      <c r="P4" s="1">
        <f t="shared" si="0"/>
        <v>0.84615384615384615</v>
      </c>
      <c r="Q4" s="2" t="s">
        <v>28</v>
      </c>
      <c r="R4" s="2" t="s">
        <v>37</v>
      </c>
      <c r="S4" s="21" t="s">
        <v>695</v>
      </c>
      <c r="T4" s="29" t="s">
        <v>62</v>
      </c>
      <c r="U4" s="29" t="s">
        <v>63</v>
      </c>
    </row>
    <row r="5" spans="1:21" ht="14.7" customHeight="1">
      <c r="A5"/>
      <c r="B5" s="2"/>
      <c r="C5" s="2"/>
      <c r="D5" s="2"/>
      <c r="E5" s="2"/>
      <c r="F5" s="5"/>
      <c r="G5" s="2"/>
      <c r="H5" s="2"/>
      <c r="I5" s="2"/>
      <c r="J5" s="2"/>
      <c r="K5" s="2"/>
      <c r="L5" s="5"/>
      <c r="M5" s="5"/>
      <c r="N5" s="2"/>
      <c r="O5" s="2"/>
      <c r="P5" s="1"/>
      <c r="Q5" s="2" t="s">
        <v>28</v>
      </c>
      <c r="R5" s="2" t="s">
        <v>37</v>
      </c>
      <c r="S5" s="21" t="s">
        <v>695</v>
      </c>
      <c r="T5" s="29" t="s">
        <v>64</v>
      </c>
      <c r="U5" s="29" t="s">
        <v>63</v>
      </c>
    </row>
    <row r="6" spans="1:21" ht="14.7" customHeight="1">
      <c r="A6" t="s">
        <v>65</v>
      </c>
      <c r="B6" s="2" t="s">
        <v>27</v>
      </c>
      <c r="C6" s="2" t="s">
        <v>27</v>
      </c>
      <c r="D6" s="2" t="s">
        <v>27</v>
      </c>
      <c r="E6" s="2" t="s">
        <v>27</v>
      </c>
      <c r="F6" s="2" t="s">
        <v>27</v>
      </c>
      <c r="G6" s="5" t="s">
        <v>33</v>
      </c>
      <c r="H6" s="2" t="s">
        <v>27</v>
      </c>
      <c r="I6" s="5" t="s">
        <v>33</v>
      </c>
      <c r="J6" s="2" t="s">
        <v>27</v>
      </c>
      <c r="K6" s="2" t="s">
        <v>27</v>
      </c>
      <c r="L6" s="5" t="s">
        <v>33</v>
      </c>
      <c r="M6" s="5" t="s">
        <v>33</v>
      </c>
      <c r="N6" s="2" t="s">
        <v>27</v>
      </c>
      <c r="O6" s="2">
        <f t="shared" si="1"/>
        <v>9</v>
      </c>
      <c r="P6" s="1">
        <f t="shared" si="0"/>
        <v>0.69230769230769229</v>
      </c>
      <c r="Q6" s="2" t="s">
        <v>34</v>
      </c>
      <c r="R6" s="2" t="s">
        <v>29</v>
      </c>
      <c r="S6" t="s">
        <v>66</v>
      </c>
      <c r="T6" t="s">
        <v>67</v>
      </c>
      <c r="U6" s="29" t="s">
        <v>68</v>
      </c>
    </row>
    <row r="7" spans="1:21" ht="14.7" customHeight="1">
      <c r="A7"/>
      <c r="B7" s="2"/>
      <c r="C7" s="2"/>
      <c r="D7" s="2"/>
      <c r="E7" s="2"/>
      <c r="F7" s="2"/>
      <c r="G7" s="5"/>
      <c r="H7" s="2"/>
      <c r="I7" s="5"/>
      <c r="J7" s="2"/>
      <c r="K7" s="2"/>
      <c r="L7" s="5"/>
      <c r="M7" s="5"/>
      <c r="N7" s="2"/>
      <c r="O7" s="2"/>
      <c r="P7" s="1"/>
      <c r="Q7" s="2" t="s">
        <v>34</v>
      </c>
      <c r="R7" s="2" t="s">
        <v>29</v>
      </c>
      <c r="S7" t="s">
        <v>66</v>
      </c>
      <c r="T7" t="s">
        <v>69</v>
      </c>
      <c r="U7" s="29" t="s">
        <v>68</v>
      </c>
    </row>
    <row r="8" spans="1:21" ht="14.7" customHeight="1">
      <c r="A8"/>
      <c r="B8" s="2"/>
      <c r="C8" s="2"/>
      <c r="D8" s="2"/>
      <c r="E8" s="2"/>
      <c r="F8" s="2"/>
      <c r="G8" s="5"/>
      <c r="H8" s="2"/>
      <c r="I8" s="5"/>
      <c r="J8" s="2"/>
      <c r="K8" s="2"/>
      <c r="L8" s="5"/>
      <c r="M8" s="5"/>
      <c r="N8" s="2"/>
      <c r="O8" s="2"/>
      <c r="P8" s="1"/>
      <c r="Q8" s="2" t="s">
        <v>34</v>
      </c>
      <c r="R8" s="2" t="s">
        <v>29</v>
      </c>
      <c r="S8" s="21" t="s">
        <v>66</v>
      </c>
      <c r="T8" s="29" t="s">
        <v>124</v>
      </c>
      <c r="U8" s="29" t="s">
        <v>303</v>
      </c>
    </row>
    <row r="9" spans="1:21" ht="14.7" customHeight="1">
      <c r="A9"/>
      <c r="B9" s="2"/>
      <c r="C9" s="2"/>
      <c r="D9" s="2"/>
      <c r="E9" s="2"/>
      <c r="F9" s="2"/>
      <c r="G9" s="5"/>
      <c r="H9" s="2"/>
      <c r="I9" s="5"/>
      <c r="J9" s="2"/>
      <c r="K9" s="2"/>
      <c r="L9" s="5"/>
      <c r="M9" s="5"/>
      <c r="N9" s="2"/>
      <c r="O9" s="2"/>
      <c r="P9" s="1"/>
      <c r="Q9" s="2" t="s">
        <v>34</v>
      </c>
      <c r="R9" s="2" t="s">
        <v>29</v>
      </c>
      <c r="S9" s="21" t="s">
        <v>66</v>
      </c>
      <c r="T9" s="29" t="s">
        <v>320</v>
      </c>
      <c r="U9" s="29" t="s">
        <v>321</v>
      </c>
    </row>
    <row r="10" spans="1:21" ht="14.7" customHeight="1">
      <c r="A10" t="s">
        <v>70</v>
      </c>
      <c r="B10" s="2" t="s">
        <v>27</v>
      </c>
      <c r="C10" s="2" t="s">
        <v>27</v>
      </c>
      <c r="D10" s="2" t="s">
        <v>27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5" t="s">
        <v>33</v>
      </c>
      <c r="K10" s="2" t="s">
        <v>27</v>
      </c>
      <c r="L10" s="2" t="s">
        <v>27</v>
      </c>
      <c r="M10" s="5" t="s">
        <v>33</v>
      </c>
      <c r="N10" s="5" t="s">
        <v>33</v>
      </c>
      <c r="O10" s="2">
        <f t="shared" si="1"/>
        <v>10</v>
      </c>
      <c r="P10" s="1">
        <f t="shared" si="0"/>
        <v>0.76923076923076927</v>
      </c>
      <c r="Q10" s="2" t="s">
        <v>28</v>
      </c>
      <c r="R10" s="2" t="s">
        <v>37</v>
      </c>
      <c r="S10" s="21" t="s">
        <v>695</v>
      </c>
      <c r="T10" s="23" t="s">
        <v>71</v>
      </c>
      <c r="U10" s="29" t="s">
        <v>72</v>
      </c>
    </row>
    <row r="11" spans="1:21" ht="14.7" customHeight="1">
      <c r="A11"/>
      <c r="B11" s="2"/>
      <c r="C11" s="2"/>
      <c r="D11" s="2"/>
      <c r="E11" s="2"/>
      <c r="F11" s="2"/>
      <c r="G11" s="2"/>
      <c r="H11" s="2"/>
      <c r="I11" s="2"/>
      <c r="J11" s="5"/>
      <c r="K11" s="2"/>
      <c r="L11" s="2"/>
      <c r="M11" s="5"/>
      <c r="N11" s="5"/>
      <c r="O11" s="2"/>
      <c r="P11" s="1"/>
      <c r="Q11" s="2" t="s">
        <v>28</v>
      </c>
      <c r="R11" s="2" t="s">
        <v>37</v>
      </c>
      <c r="S11" s="21" t="s">
        <v>695</v>
      </c>
      <c r="T11" s="23" t="s">
        <v>73</v>
      </c>
      <c r="U11" s="29" t="s">
        <v>74</v>
      </c>
    </row>
    <row r="12" spans="1:21" ht="14.7" customHeight="1">
      <c r="A12" t="s">
        <v>75</v>
      </c>
      <c r="B12" s="2" t="s">
        <v>27</v>
      </c>
      <c r="C12" s="2" t="s">
        <v>27</v>
      </c>
      <c r="D12" s="2" t="s">
        <v>27</v>
      </c>
      <c r="E12" s="2" t="s">
        <v>27</v>
      </c>
      <c r="F12" s="2" t="s">
        <v>27</v>
      </c>
      <c r="G12" s="5" t="s">
        <v>33</v>
      </c>
      <c r="H12" s="2" t="s">
        <v>27</v>
      </c>
      <c r="I12" s="5" t="s">
        <v>33</v>
      </c>
      <c r="J12" s="2" t="s">
        <v>27</v>
      </c>
      <c r="K12" s="2" t="s">
        <v>27</v>
      </c>
      <c r="L12" s="2" t="s">
        <v>27</v>
      </c>
      <c r="M12" s="2" t="s">
        <v>27</v>
      </c>
      <c r="N12" s="2" t="s">
        <v>27</v>
      </c>
      <c r="O12" s="2">
        <f t="shared" si="1"/>
        <v>11</v>
      </c>
      <c r="P12" s="1">
        <f t="shared" si="0"/>
        <v>0.84615384615384615</v>
      </c>
      <c r="Q12" s="2" t="s">
        <v>34</v>
      </c>
      <c r="R12" s="2" t="s">
        <v>37</v>
      </c>
      <c r="S12" s="21" t="s">
        <v>695</v>
      </c>
      <c r="T12" s="23" t="s">
        <v>76</v>
      </c>
      <c r="U12" s="21" t="s">
        <v>701</v>
      </c>
    </row>
    <row r="13" spans="1:21" ht="14.7" customHeight="1">
      <c r="A13" t="s">
        <v>77</v>
      </c>
      <c r="B13" s="2" t="s">
        <v>27</v>
      </c>
      <c r="C13" s="2" t="s">
        <v>27</v>
      </c>
      <c r="D13" s="5" t="s">
        <v>33</v>
      </c>
      <c r="E13" s="2" t="s">
        <v>27</v>
      </c>
      <c r="F13" s="2" t="s">
        <v>27</v>
      </c>
      <c r="G13" s="5" t="s">
        <v>33</v>
      </c>
      <c r="H13" s="2" t="s">
        <v>27</v>
      </c>
      <c r="I13" s="5" t="s">
        <v>33</v>
      </c>
      <c r="J13" s="2" t="s">
        <v>27</v>
      </c>
      <c r="K13" s="2" t="s">
        <v>27</v>
      </c>
      <c r="L13" s="2" t="s">
        <v>27</v>
      </c>
      <c r="M13" s="2" t="s">
        <v>27</v>
      </c>
      <c r="N13" s="2" t="s">
        <v>27</v>
      </c>
      <c r="O13" s="2">
        <f t="shared" si="1"/>
        <v>10</v>
      </c>
      <c r="P13" s="1">
        <f t="shared" si="0"/>
        <v>0.76923076923076927</v>
      </c>
      <c r="Q13" s="2" t="s">
        <v>28</v>
      </c>
      <c r="R13" s="2" t="s">
        <v>29</v>
      </c>
      <c r="S13" s="29" t="s">
        <v>78</v>
      </c>
      <c r="T13" s="21" t="s">
        <v>79</v>
      </c>
      <c r="U13" s="29" t="s">
        <v>80</v>
      </c>
    </row>
    <row r="14" spans="1:21" ht="14.7" customHeight="1">
      <c r="A14" t="s">
        <v>81</v>
      </c>
      <c r="B14" s="5" t="s">
        <v>33</v>
      </c>
      <c r="C14" s="5" t="s">
        <v>33</v>
      </c>
      <c r="D14" s="5" t="s">
        <v>33</v>
      </c>
      <c r="E14" s="2" t="s">
        <v>27</v>
      </c>
      <c r="F14" s="5" t="s">
        <v>33</v>
      </c>
      <c r="G14" s="5" t="s">
        <v>33</v>
      </c>
      <c r="H14" s="2" t="s">
        <v>27</v>
      </c>
      <c r="I14" s="5" t="s">
        <v>33</v>
      </c>
      <c r="J14" s="2" t="s">
        <v>27</v>
      </c>
      <c r="K14" s="2" t="s">
        <v>27</v>
      </c>
      <c r="L14" s="5" t="s">
        <v>33</v>
      </c>
      <c r="M14" s="5" t="s">
        <v>33</v>
      </c>
      <c r="N14" s="2" t="s">
        <v>27</v>
      </c>
      <c r="O14" s="2">
        <f t="shared" si="1"/>
        <v>5</v>
      </c>
      <c r="P14" s="1">
        <f t="shared" si="0"/>
        <v>0.38461538461538464</v>
      </c>
      <c r="Q14" s="2" t="s">
        <v>34</v>
      </c>
      <c r="R14" s="2" t="s">
        <v>37</v>
      </c>
      <c r="S14" s="21" t="s">
        <v>695</v>
      </c>
      <c r="T14" s="29" t="s">
        <v>82</v>
      </c>
      <c r="U14" s="29" t="s">
        <v>83</v>
      </c>
    </row>
    <row r="15" spans="1:21" ht="14.7" customHeight="1">
      <c r="A15" t="s">
        <v>84</v>
      </c>
      <c r="B15" s="5" t="s">
        <v>33</v>
      </c>
      <c r="C15" s="5" t="s">
        <v>33</v>
      </c>
      <c r="D15" s="2" t="s">
        <v>27</v>
      </c>
      <c r="E15" s="2" t="s">
        <v>27</v>
      </c>
      <c r="F15" s="2" t="s">
        <v>27</v>
      </c>
      <c r="G15" s="5" t="s">
        <v>33</v>
      </c>
      <c r="H15" s="2" t="s">
        <v>27</v>
      </c>
      <c r="I15" s="5" t="s">
        <v>33</v>
      </c>
      <c r="J15" s="5" t="s">
        <v>33</v>
      </c>
      <c r="K15" s="5" t="s">
        <v>33</v>
      </c>
      <c r="L15" s="2" t="s">
        <v>27</v>
      </c>
      <c r="M15" s="5" t="s">
        <v>33</v>
      </c>
      <c r="N15" s="5" t="s">
        <v>33</v>
      </c>
      <c r="O15" s="2">
        <f t="shared" si="1"/>
        <v>5</v>
      </c>
      <c r="P15" s="1">
        <f t="shared" si="0"/>
        <v>0.38461538461538464</v>
      </c>
      <c r="Q15" s="2" t="s">
        <v>34</v>
      </c>
      <c r="R15" s="2" t="s">
        <v>37</v>
      </c>
      <c r="S15" s="21" t="s">
        <v>695</v>
      </c>
      <c r="T15" s="29" t="s">
        <v>82</v>
      </c>
      <c r="U15" s="29" t="s">
        <v>83</v>
      </c>
    </row>
    <row r="16" spans="1:21" ht="14.7" customHeight="1">
      <c r="A16" t="s">
        <v>85</v>
      </c>
      <c r="B16" s="2" t="s">
        <v>27</v>
      </c>
      <c r="C16" s="5" t="s">
        <v>33</v>
      </c>
      <c r="D16" s="5" t="s">
        <v>33</v>
      </c>
      <c r="E16" s="5" t="s">
        <v>33</v>
      </c>
      <c r="F16" s="5" t="s">
        <v>33</v>
      </c>
      <c r="G16" s="5" t="s">
        <v>33</v>
      </c>
      <c r="H16" s="2" t="s">
        <v>27</v>
      </c>
      <c r="I16" s="2" t="s">
        <v>27</v>
      </c>
      <c r="J16" s="5" t="s">
        <v>33</v>
      </c>
      <c r="K16" s="2" t="s">
        <v>27</v>
      </c>
      <c r="L16" s="5" t="s">
        <v>33</v>
      </c>
      <c r="M16" s="2" t="s">
        <v>27</v>
      </c>
      <c r="N16" s="5" t="s">
        <v>33</v>
      </c>
      <c r="O16" s="2">
        <f t="shared" si="1"/>
        <v>5</v>
      </c>
      <c r="P16" s="1">
        <f t="shared" si="0"/>
        <v>0.38461538461538464</v>
      </c>
      <c r="Q16" s="2" t="s">
        <v>28</v>
      </c>
      <c r="R16" s="2" t="s">
        <v>37</v>
      </c>
      <c r="S16" s="21" t="s">
        <v>695</v>
      </c>
      <c r="T16" s="29" t="s">
        <v>86</v>
      </c>
      <c r="U16" s="29" t="s">
        <v>87</v>
      </c>
    </row>
    <row r="17" spans="1:21" ht="14.7" customHeight="1">
      <c r="A17" t="s">
        <v>88</v>
      </c>
      <c r="B17" s="5" t="s">
        <v>33</v>
      </c>
      <c r="C17" s="2" t="s">
        <v>27</v>
      </c>
      <c r="D17" s="5" t="s">
        <v>33</v>
      </c>
      <c r="E17" s="2" t="s">
        <v>27</v>
      </c>
      <c r="F17" s="5" t="s">
        <v>33</v>
      </c>
      <c r="G17" s="5" t="s">
        <v>33</v>
      </c>
      <c r="H17" s="2" t="s">
        <v>27</v>
      </c>
      <c r="I17" s="5" t="s">
        <v>33</v>
      </c>
      <c r="J17" s="5" t="s">
        <v>33</v>
      </c>
      <c r="K17" s="2" t="s">
        <v>27</v>
      </c>
      <c r="L17" s="5" t="s">
        <v>33</v>
      </c>
      <c r="M17" s="5" t="s">
        <v>33</v>
      </c>
      <c r="N17" s="5" t="s">
        <v>33</v>
      </c>
      <c r="O17" s="2">
        <f t="shared" si="1"/>
        <v>4</v>
      </c>
      <c r="P17" s="1">
        <f t="shared" si="0"/>
        <v>0.30769230769230771</v>
      </c>
      <c r="Q17" s="2" t="s">
        <v>34</v>
      </c>
      <c r="R17" s="2" t="s">
        <v>37</v>
      </c>
      <c r="S17" s="21" t="s">
        <v>47</v>
      </c>
      <c r="T17" s="29" t="s">
        <v>89</v>
      </c>
      <c r="U17" s="29" t="s">
        <v>83</v>
      </c>
    </row>
    <row r="18" spans="1:21" ht="14.7" customHeight="1">
      <c r="A18" t="s">
        <v>90</v>
      </c>
      <c r="B18" s="5" t="s">
        <v>33</v>
      </c>
      <c r="C18" s="5" t="s">
        <v>33</v>
      </c>
      <c r="D18" s="5" t="s">
        <v>33</v>
      </c>
      <c r="E18" s="2" t="s">
        <v>27</v>
      </c>
      <c r="F18" s="5" t="s">
        <v>33</v>
      </c>
      <c r="G18" s="2" t="s">
        <v>27</v>
      </c>
      <c r="H18" s="5" t="s">
        <v>33</v>
      </c>
      <c r="I18" s="5" t="s">
        <v>33</v>
      </c>
      <c r="J18" s="2" t="s">
        <v>27</v>
      </c>
      <c r="K18" s="2" t="s">
        <v>27</v>
      </c>
      <c r="L18" s="5" t="s">
        <v>33</v>
      </c>
      <c r="M18" s="5" t="s">
        <v>33</v>
      </c>
      <c r="N18" s="5" t="s">
        <v>33</v>
      </c>
      <c r="O18" s="2">
        <f t="shared" si="1"/>
        <v>4</v>
      </c>
      <c r="P18" s="1">
        <f t="shared" si="0"/>
        <v>0.30769230769230771</v>
      </c>
      <c r="Q18" s="2" t="s">
        <v>34</v>
      </c>
      <c r="R18" s="2" t="s">
        <v>37</v>
      </c>
      <c r="S18" s="29" t="s">
        <v>690</v>
      </c>
      <c r="T18" s="29" t="s">
        <v>91</v>
      </c>
      <c r="U18" s="29" t="s">
        <v>92</v>
      </c>
    </row>
    <row r="19" spans="1:21" ht="14.7" customHeight="1">
      <c r="A19" t="s">
        <v>93</v>
      </c>
      <c r="B19" s="2" t="s">
        <v>27</v>
      </c>
      <c r="C19" s="5" t="s">
        <v>33</v>
      </c>
      <c r="D19" s="2" t="s">
        <v>27</v>
      </c>
      <c r="E19" s="5" t="s">
        <v>33</v>
      </c>
      <c r="F19" s="5" t="s">
        <v>33</v>
      </c>
      <c r="G19" s="2" t="s">
        <v>27</v>
      </c>
      <c r="H19" s="5" t="s">
        <v>33</v>
      </c>
      <c r="I19" s="5" t="s">
        <v>33</v>
      </c>
      <c r="J19" s="5" t="s">
        <v>33</v>
      </c>
      <c r="K19" s="5" t="s">
        <v>33</v>
      </c>
      <c r="L19" s="5" t="s">
        <v>33</v>
      </c>
      <c r="M19" s="5" t="s">
        <v>33</v>
      </c>
      <c r="N19" s="5" t="s">
        <v>33</v>
      </c>
      <c r="O19" s="2">
        <f t="shared" si="1"/>
        <v>3</v>
      </c>
      <c r="P19" s="1">
        <f t="shared" si="0"/>
        <v>0.23076923076923078</v>
      </c>
      <c r="Q19" s="2" t="s">
        <v>28</v>
      </c>
      <c r="R19" s="2" t="s">
        <v>37</v>
      </c>
      <c r="S19" s="21" t="s">
        <v>94</v>
      </c>
      <c r="T19" s="21" t="s">
        <v>95</v>
      </c>
      <c r="U19" s="29" t="s">
        <v>96</v>
      </c>
    </row>
    <row r="20" spans="1:21" ht="14.7" customHeight="1">
      <c r="A20" t="s">
        <v>97</v>
      </c>
      <c r="B20" s="2" t="s">
        <v>27</v>
      </c>
      <c r="C20" s="5" t="s">
        <v>33</v>
      </c>
      <c r="D20" s="2" t="s">
        <v>27</v>
      </c>
      <c r="E20" s="5" t="s">
        <v>33</v>
      </c>
      <c r="F20" s="5" t="s">
        <v>33</v>
      </c>
      <c r="G20" s="5" t="s">
        <v>33</v>
      </c>
      <c r="H20" s="2" t="s">
        <v>27</v>
      </c>
      <c r="I20" s="5" t="s">
        <v>33</v>
      </c>
      <c r="J20" s="5" t="s">
        <v>33</v>
      </c>
      <c r="K20" s="5" t="s">
        <v>33</v>
      </c>
      <c r="L20" s="5" t="s">
        <v>33</v>
      </c>
      <c r="M20" s="5" t="s">
        <v>33</v>
      </c>
      <c r="N20" s="5" t="s">
        <v>33</v>
      </c>
      <c r="O20" s="2">
        <f t="shared" si="1"/>
        <v>3</v>
      </c>
      <c r="P20" s="1">
        <f t="shared" si="0"/>
        <v>0.23076923076923078</v>
      </c>
      <c r="Q20" s="9" t="s">
        <v>28</v>
      </c>
      <c r="R20" s="9" t="s">
        <v>37</v>
      </c>
      <c r="S20" s="26" t="s">
        <v>94</v>
      </c>
      <c r="T20" s="26" t="s">
        <v>95</v>
      </c>
      <c r="U20" s="26" t="s">
        <v>96</v>
      </c>
    </row>
    <row r="21" spans="1:21" ht="14.7" customHeight="1">
      <c r="A21" t="s">
        <v>98</v>
      </c>
      <c r="B21" s="2" t="s">
        <v>27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2" t="s">
        <v>27</v>
      </c>
      <c r="I21" s="5" t="s">
        <v>33</v>
      </c>
      <c r="J21" s="5" t="s">
        <v>33</v>
      </c>
      <c r="K21" s="2" t="s">
        <v>27</v>
      </c>
      <c r="L21" s="5" t="s">
        <v>33</v>
      </c>
      <c r="M21" s="5" t="s">
        <v>33</v>
      </c>
      <c r="N21" s="5" t="s">
        <v>33</v>
      </c>
      <c r="O21" s="2">
        <f t="shared" si="1"/>
        <v>3</v>
      </c>
      <c r="P21" s="1">
        <f t="shared" si="0"/>
        <v>0.23076923076923078</v>
      </c>
      <c r="Q21" s="30" t="s">
        <v>34</v>
      </c>
      <c r="R21" s="30" t="s">
        <v>99</v>
      </c>
      <c r="S21" s="31" t="s">
        <v>694</v>
      </c>
      <c r="T21" s="31" t="s">
        <v>100</v>
      </c>
      <c r="U21" s="31" t="s">
        <v>101</v>
      </c>
    </row>
    <row r="22" spans="1:21" ht="14.7" customHeight="1">
      <c r="A22" t="s">
        <v>102</v>
      </c>
      <c r="B22" s="5" t="s">
        <v>33</v>
      </c>
      <c r="C22" s="5" t="s">
        <v>33</v>
      </c>
      <c r="D22" s="2" t="s">
        <v>27</v>
      </c>
      <c r="E22" s="2" t="s">
        <v>27</v>
      </c>
      <c r="F22" s="5" t="s">
        <v>33</v>
      </c>
      <c r="G22" s="5" t="s">
        <v>33</v>
      </c>
      <c r="H22" s="5" t="s">
        <v>33</v>
      </c>
      <c r="I22" s="5" t="s">
        <v>33</v>
      </c>
      <c r="J22" s="5" t="s">
        <v>33</v>
      </c>
      <c r="K22" s="2" t="s">
        <v>27</v>
      </c>
      <c r="L22" s="5" t="s">
        <v>33</v>
      </c>
      <c r="M22" s="5" t="s">
        <v>33</v>
      </c>
      <c r="N22" s="5" t="s">
        <v>33</v>
      </c>
      <c r="O22" s="2">
        <f t="shared" si="1"/>
        <v>3</v>
      </c>
      <c r="P22" s="1">
        <f t="shared" si="0"/>
        <v>0.23076923076923078</v>
      </c>
      <c r="Q22" s="30" t="s">
        <v>34</v>
      </c>
      <c r="R22" s="30" t="s">
        <v>103</v>
      </c>
      <c r="S22" s="31" t="s">
        <v>47</v>
      </c>
      <c r="T22" s="31" t="s">
        <v>104</v>
      </c>
      <c r="U22" s="31" t="s">
        <v>105</v>
      </c>
    </row>
    <row r="23" spans="1:21" ht="14.7" customHeight="1">
      <c r="A23"/>
      <c r="B23" s="5"/>
      <c r="C23" s="5"/>
      <c r="D23" s="2"/>
      <c r="E23" s="2"/>
      <c r="F23" s="5"/>
      <c r="G23" s="5"/>
      <c r="H23" s="5"/>
      <c r="I23" s="5"/>
      <c r="J23" s="5"/>
      <c r="K23" s="2"/>
      <c r="L23" s="5"/>
      <c r="M23" s="5"/>
      <c r="N23" s="5"/>
      <c r="O23" s="2"/>
      <c r="P23" s="1"/>
      <c r="Q23" s="30" t="s">
        <v>34</v>
      </c>
      <c r="R23" s="30" t="s">
        <v>103</v>
      </c>
      <c r="S23" s="31" t="s">
        <v>47</v>
      </c>
      <c r="T23" s="31" t="s">
        <v>106</v>
      </c>
      <c r="U23" s="31" t="s">
        <v>105</v>
      </c>
    </row>
    <row r="24" spans="1:21" ht="14.7" customHeight="1">
      <c r="A24" t="s">
        <v>107</v>
      </c>
      <c r="B24" s="5" t="s">
        <v>33</v>
      </c>
      <c r="C24" s="5" t="s">
        <v>33</v>
      </c>
      <c r="D24" s="5" t="s">
        <v>33</v>
      </c>
      <c r="E24" s="2" t="s">
        <v>27</v>
      </c>
      <c r="F24" s="2" t="s">
        <v>27</v>
      </c>
      <c r="G24" s="5" t="s">
        <v>33</v>
      </c>
      <c r="H24" s="5" t="s">
        <v>33</v>
      </c>
      <c r="I24" s="5" t="s">
        <v>33</v>
      </c>
      <c r="J24" s="5" t="s">
        <v>33</v>
      </c>
      <c r="K24" s="5" t="s">
        <v>33</v>
      </c>
      <c r="L24" s="5" t="s">
        <v>33</v>
      </c>
      <c r="M24" s="5" t="s">
        <v>33</v>
      </c>
      <c r="N24" s="2" t="s">
        <v>27</v>
      </c>
      <c r="O24" s="2">
        <f t="shared" si="1"/>
        <v>3</v>
      </c>
      <c r="P24" s="1">
        <f t="shared" si="0"/>
        <v>0.23076923076923078</v>
      </c>
      <c r="Q24" s="30" t="s">
        <v>34</v>
      </c>
      <c r="R24" s="9" t="s">
        <v>29</v>
      </c>
      <c r="S24" s="21" t="s">
        <v>694</v>
      </c>
      <c r="T24" t="s">
        <v>300</v>
      </c>
      <c r="U24" t="s">
        <v>301</v>
      </c>
    </row>
    <row r="25" spans="1:21" ht="14.7" customHeight="1">
      <c r="A25" t="s">
        <v>109</v>
      </c>
      <c r="B25" s="2" t="s">
        <v>27</v>
      </c>
      <c r="C25" s="5" t="s">
        <v>33</v>
      </c>
      <c r="D25" s="5" t="s">
        <v>33</v>
      </c>
      <c r="E25" s="2" t="s">
        <v>27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5" t="s">
        <v>33</v>
      </c>
      <c r="L25" s="5" t="s">
        <v>33</v>
      </c>
      <c r="M25" s="5" t="s">
        <v>33</v>
      </c>
      <c r="N25" s="5" t="s">
        <v>33</v>
      </c>
      <c r="O25" s="2">
        <f t="shared" si="1"/>
        <v>2</v>
      </c>
      <c r="P25" s="1">
        <f t="shared" si="0"/>
        <v>0.15384615384615385</v>
      </c>
      <c r="Q25" s="9" t="s">
        <v>28</v>
      </c>
      <c r="R25" s="9" t="s">
        <v>110</v>
      </c>
      <c r="S25" s="26" t="s">
        <v>111</v>
      </c>
      <c r="T25" s="26" t="s">
        <v>71</v>
      </c>
      <c r="U25" s="26" t="s">
        <v>112</v>
      </c>
    </row>
    <row r="26" spans="1:21" ht="14.7" customHeight="1">
      <c r="A26" t="s">
        <v>113</v>
      </c>
      <c r="B26" s="2" t="s">
        <v>27</v>
      </c>
      <c r="C26" s="5" t="s">
        <v>33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2" t="s">
        <v>27</v>
      </c>
      <c r="L26" s="2" t="s">
        <v>27</v>
      </c>
      <c r="M26" s="2" t="s">
        <v>27</v>
      </c>
      <c r="N26" s="5" t="s">
        <v>33</v>
      </c>
      <c r="O26" s="2">
        <f t="shared" si="1"/>
        <v>4</v>
      </c>
      <c r="P26" s="1">
        <f t="shared" si="0"/>
        <v>0.30769230769230771</v>
      </c>
      <c r="Q26" s="9" t="s">
        <v>34</v>
      </c>
      <c r="R26" s="9" t="s">
        <v>37</v>
      </c>
      <c r="S26" s="26" t="s">
        <v>695</v>
      </c>
      <c r="T26" s="26" t="s">
        <v>114</v>
      </c>
      <c r="U26" s="26" t="s">
        <v>115</v>
      </c>
    </row>
    <row r="27" spans="1:21" ht="14.7" customHeight="1">
      <c r="A27" t="s">
        <v>116</v>
      </c>
      <c r="B27" s="2" t="s">
        <v>27</v>
      </c>
      <c r="C27" s="5" t="s">
        <v>33</v>
      </c>
      <c r="D27" s="5" t="s">
        <v>33</v>
      </c>
      <c r="E27" s="5" t="s">
        <v>33</v>
      </c>
      <c r="F27" s="5" t="s">
        <v>33</v>
      </c>
      <c r="G27" s="5" t="s">
        <v>33</v>
      </c>
      <c r="H27" s="5" t="s">
        <v>33</v>
      </c>
      <c r="I27" s="5" t="s">
        <v>33</v>
      </c>
      <c r="J27" s="5" t="s">
        <v>33</v>
      </c>
      <c r="K27" s="2" t="s">
        <v>27</v>
      </c>
      <c r="L27" s="5" t="s">
        <v>33</v>
      </c>
      <c r="N27" s="2" t="s">
        <v>27</v>
      </c>
      <c r="O27" s="2">
        <f t="shared" si="1"/>
        <v>3</v>
      </c>
      <c r="P27" s="1">
        <f t="shared" si="0"/>
        <v>0.23076923076923078</v>
      </c>
      <c r="Q27" s="9" t="s">
        <v>34</v>
      </c>
      <c r="R27" s="9" t="s">
        <v>37</v>
      </c>
      <c r="S27" s="26" t="s">
        <v>695</v>
      </c>
      <c r="T27" s="26" t="s">
        <v>117</v>
      </c>
      <c r="U27" s="26" t="s">
        <v>118</v>
      </c>
    </row>
    <row r="28" spans="1:21" ht="14.7" customHeight="1">
      <c r="A28" t="s">
        <v>119</v>
      </c>
      <c r="B28" s="2" t="s">
        <v>27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5" t="s">
        <v>33</v>
      </c>
      <c r="K28" s="2" t="s">
        <v>27</v>
      </c>
      <c r="L28" s="5" t="s">
        <v>33</v>
      </c>
      <c r="M28" s="5" t="s">
        <v>33</v>
      </c>
      <c r="N28" s="2" t="s">
        <v>27</v>
      </c>
      <c r="O28" s="2">
        <f t="shared" si="1"/>
        <v>3</v>
      </c>
      <c r="P28" s="1">
        <f t="shared" si="0"/>
        <v>0.23076923076923078</v>
      </c>
      <c r="Q28" s="9" t="s">
        <v>34</v>
      </c>
      <c r="R28" s="9" t="s">
        <v>37</v>
      </c>
      <c r="S28" s="26" t="s">
        <v>695</v>
      </c>
      <c r="T28" s="26" t="s">
        <v>120</v>
      </c>
      <c r="U28" s="26" t="s">
        <v>118</v>
      </c>
    </row>
    <row r="29" spans="1:21" ht="12.45" customHeight="1">
      <c r="A29" t="s">
        <v>121</v>
      </c>
      <c r="B29" s="5" t="s">
        <v>33</v>
      </c>
      <c r="C29" s="5" t="s">
        <v>33</v>
      </c>
      <c r="D29" s="5" t="s">
        <v>33</v>
      </c>
      <c r="E29" s="5" t="s">
        <v>33</v>
      </c>
      <c r="F29" s="5" t="s">
        <v>33</v>
      </c>
      <c r="G29" s="2" t="s">
        <v>27</v>
      </c>
      <c r="H29" s="5" t="s">
        <v>33</v>
      </c>
      <c r="I29" s="2" t="s">
        <v>27</v>
      </c>
      <c r="J29" s="5" t="s">
        <v>33</v>
      </c>
      <c r="K29" s="5" t="s">
        <v>33</v>
      </c>
      <c r="L29" s="5" t="s">
        <v>33</v>
      </c>
      <c r="M29" s="5" t="s">
        <v>33</v>
      </c>
      <c r="N29" s="5" t="s">
        <v>33</v>
      </c>
      <c r="O29" s="2">
        <f t="shared" si="1"/>
        <v>2</v>
      </c>
      <c r="P29" s="1">
        <f t="shared" si="0"/>
        <v>0.15384615384615385</v>
      </c>
      <c r="Q29" s="30" t="s">
        <v>34</v>
      </c>
      <c r="R29" s="2" t="s">
        <v>29</v>
      </c>
      <c r="S29" s="22" t="s">
        <v>295</v>
      </c>
      <c r="T29" s="21" t="s">
        <v>298</v>
      </c>
      <c r="U29" s="21" t="s">
        <v>52</v>
      </c>
    </row>
    <row r="30" spans="1:21" ht="14.7" customHeight="1">
      <c r="A30" s="32" t="s">
        <v>122</v>
      </c>
      <c r="B30" s="5" t="s">
        <v>33</v>
      </c>
      <c r="C30" s="2" t="s">
        <v>27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5" t="s">
        <v>33</v>
      </c>
      <c r="K30" s="2" t="s">
        <v>27</v>
      </c>
      <c r="L30" s="5" t="s">
        <v>33</v>
      </c>
      <c r="M30" s="5" t="s">
        <v>33</v>
      </c>
      <c r="N30" s="5" t="s">
        <v>33</v>
      </c>
      <c r="O30" s="2">
        <f t="shared" si="1"/>
        <v>2</v>
      </c>
      <c r="P30" s="1">
        <f t="shared" si="0"/>
        <v>0.15384615384615385</v>
      </c>
      <c r="Q30" s="9" t="s">
        <v>34</v>
      </c>
      <c r="R30" s="9" t="s">
        <v>37</v>
      </c>
      <c r="S30" s="26" t="s">
        <v>123</v>
      </c>
      <c r="T30" t="s">
        <v>124</v>
      </c>
      <c r="U30" t="s">
        <v>125</v>
      </c>
    </row>
    <row r="31" spans="1:21" ht="14.7" customHeight="1">
      <c r="A31" s="32"/>
      <c r="B31" s="5"/>
      <c r="C31" s="2"/>
      <c r="D31" s="5"/>
      <c r="E31" s="5"/>
      <c r="F31" s="5"/>
      <c r="G31" s="5"/>
      <c r="H31" s="5"/>
      <c r="I31" s="5"/>
      <c r="J31" s="5"/>
      <c r="K31" s="2"/>
      <c r="L31" s="5"/>
      <c r="M31" s="5"/>
      <c r="N31" s="5"/>
      <c r="O31" s="2"/>
      <c r="P31" s="1"/>
      <c r="Q31" s="9" t="s">
        <v>34</v>
      </c>
      <c r="R31" s="9" t="s">
        <v>37</v>
      </c>
      <c r="S31" s="26" t="s">
        <v>123</v>
      </c>
      <c r="T31" s="26" t="s">
        <v>126</v>
      </c>
      <c r="U31" s="26" t="s">
        <v>115</v>
      </c>
    </row>
    <row r="32" spans="1:21" ht="14.7" customHeight="1">
      <c r="A32" s="32"/>
      <c r="B32" s="5"/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"/>
      <c r="P32" s="1"/>
      <c r="Q32" s="9" t="s">
        <v>34</v>
      </c>
      <c r="R32" s="9" t="s">
        <v>37</v>
      </c>
      <c r="S32" s="26" t="s">
        <v>123</v>
      </c>
      <c r="T32" s="26" t="s">
        <v>127</v>
      </c>
      <c r="U32" s="26" t="s">
        <v>115</v>
      </c>
    </row>
    <row r="33" spans="1:21" ht="14.7" customHeight="1">
      <c r="A33" s="32" t="s">
        <v>128</v>
      </c>
      <c r="B33" s="5" t="s">
        <v>33</v>
      </c>
      <c r="C33" s="5" t="s">
        <v>33</v>
      </c>
      <c r="D33" s="5" t="s">
        <v>33</v>
      </c>
      <c r="E33" s="5" t="s">
        <v>33</v>
      </c>
      <c r="F33" s="5" t="s">
        <v>33</v>
      </c>
      <c r="G33" s="5" t="s">
        <v>33</v>
      </c>
      <c r="H33" s="2" t="s">
        <v>27</v>
      </c>
      <c r="I33" s="5" t="s">
        <v>33</v>
      </c>
      <c r="J33" s="5" t="s">
        <v>33</v>
      </c>
      <c r="K33" s="5" t="s">
        <v>33</v>
      </c>
      <c r="L33" s="5" t="s">
        <v>33</v>
      </c>
      <c r="M33" s="5" t="s">
        <v>33</v>
      </c>
      <c r="N33" s="5" t="s">
        <v>33</v>
      </c>
      <c r="O33" s="2">
        <f t="shared" si="1"/>
        <v>1</v>
      </c>
      <c r="P33" s="1">
        <f t="shared" si="0"/>
        <v>7.6923076923076927E-2</v>
      </c>
      <c r="Q33" s="9" t="s">
        <v>34</v>
      </c>
      <c r="R33" s="9" t="s">
        <v>164</v>
      </c>
      <c r="S33" s="26" t="s">
        <v>129</v>
      </c>
      <c r="T33" s="26" t="s">
        <v>130</v>
      </c>
      <c r="U33" s="26" t="s">
        <v>83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6ED8-C6CE-4233-93BB-8A8518E527B1}">
  <sheetPr codeName="Sheet1"/>
  <dimension ref="A1:U33"/>
  <sheetViews>
    <sheetView zoomScale="70" zoomScaleNormal="70" workbookViewId="0">
      <pane xSplit="1" ySplit="1" topLeftCell="R2" activePane="bottomRight" state="frozen"/>
      <selection pane="topRight" activeCell="B1" sqref="B1"/>
      <selection pane="bottomLeft" activeCell="A2" sqref="A2"/>
      <selection pane="bottomRight" activeCell="S22" sqref="S22"/>
    </sheetView>
  </sheetViews>
  <sheetFormatPr defaultRowHeight="15" customHeight="1"/>
  <cols>
    <col min="1" max="1" width="50.69140625" customWidth="1"/>
    <col min="2" max="16" width="13.69140625" customWidth="1"/>
    <col min="17" max="18" width="20.69140625" style="2" customWidth="1"/>
    <col min="19" max="21" width="20.69140625" customWidth="1"/>
  </cols>
  <sheetData>
    <row r="1" spans="1:21" ht="75" customHeight="1">
      <c r="A1" s="4" t="s">
        <v>131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4" t="s">
        <v>10</v>
      </c>
      <c r="L1" s="3" t="s">
        <v>11</v>
      </c>
      <c r="M1" s="3" t="s">
        <v>20</v>
      </c>
      <c r="N1" s="3" t="s">
        <v>13</v>
      </c>
      <c r="O1" s="3" t="s">
        <v>14</v>
      </c>
      <c r="P1" s="3" t="s">
        <v>15</v>
      </c>
      <c r="Q1" s="14" t="s">
        <v>21</v>
      </c>
      <c r="R1" s="14" t="s">
        <v>22</v>
      </c>
      <c r="S1" s="3" t="s">
        <v>23</v>
      </c>
      <c r="T1" s="3" t="s">
        <v>24</v>
      </c>
      <c r="U1" s="3" t="s">
        <v>25</v>
      </c>
    </row>
    <row r="2" spans="1:21" s="73" customFormat="1" ht="14.7" customHeight="1">
      <c r="A2" s="16" t="s">
        <v>132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34"/>
      <c r="P2" s="34"/>
      <c r="Q2" s="35"/>
      <c r="R2" s="33"/>
      <c r="S2" s="18"/>
      <c r="T2" s="18"/>
      <c r="U2" s="34"/>
    </row>
    <row r="3" spans="1:21" ht="14.7" customHeight="1">
      <c r="A3" t="s">
        <v>133</v>
      </c>
      <c r="B3" s="9" t="s">
        <v>27</v>
      </c>
      <c r="C3" s="9" t="s">
        <v>27</v>
      </c>
      <c r="D3" s="5" t="s">
        <v>33</v>
      </c>
      <c r="E3" s="5" t="s">
        <v>33</v>
      </c>
      <c r="F3" s="5" t="s">
        <v>33</v>
      </c>
      <c r="G3" s="5" t="s">
        <v>33</v>
      </c>
      <c r="H3" s="9" t="s">
        <v>27</v>
      </c>
      <c r="I3" s="5" t="s">
        <v>33</v>
      </c>
      <c r="J3" s="5" t="s">
        <v>33</v>
      </c>
      <c r="K3" s="9" t="s">
        <v>27</v>
      </c>
      <c r="L3" s="5" t="s">
        <v>33</v>
      </c>
      <c r="M3" s="5" t="s">
        <v>33</v>
      </c>
      <c r="N3" s="5" t="s">
        <v>33</v>
      </c>
      <c r="O3" s="2">
        <f t="shared" ref="O3:O10" si="0">COUNTIF(B3:N3,"✔")</f>
        <v>4</v>
      </c>
      <c r="P3" s="1">
        <f>O3/13</f>
        <v>0.30769230769230771</v>
      </c>
      <c r="Q3" s="2" t="s">
        <v>34</v>
      </c>
      <c r="R3" s="36" t="s">
        <v>134</v>
      </c>
      <c r="S3" s="37" t="s">
        <v>135</v>
      </c>
      <c r="T3" t="s">
        <v>124</v>
      </c>
      <c r="U3" t="s">
        <v>136</v>
      </c>
    </row>
    <row r="4" spans="1:21" ht="14.7" customHeight="1">
      <c r="A4" t="s">
        <v>137</v>
      </c>
      <c r="B4" s="9" t="s">
        <v>27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9" t="s">
        <v>27</v>
      </c>
      <c r="I4" s="9" t="s">
        <v>27</v>
      </c>
      <c r="J4" s="5" t="s">
        <v>33</v>
      </c>
      <c r="K4" s="9" t="s">
        <v>27</v>
      </c>
      <c r="L4" s="5" t="s">
        <v>33</v>
      </c>
      <c r="M4" s="9" t="s">
        <v>27</v>
      </c>
      <c r="N4" s="5" t="s">
        <v>33</v>
      </c>
      <c r="O4" s="2">
        <f t="shared" si="0"/>
        <v>5</v>
      </c>
      <c r="P4" s="1">
        <f t="shared" ref="P4:P10" si="1">O4/13</f>
        <v>0.38461538461538464</v>
      </c>
      <c r="Q4" s="2" t="s">
        <v>34</v>
      </c>
      <c r="R4" s="36" t="s">
        <v>134</v>
      </c>
      <c r="S4" s="37" t="s">
        <v>135</v>
      </c>
      <c r="T4" t="s">
        <v>124</v>
      </c>
      <c r="U4" t="s">
        <v>136</v>
      </c>
    </row>
    <row r="5" spans="1:21" ht="14.7" customHeight="1">
      <c r="A5" t="s">
        <v>138</v>
      </c>
      <c r="B5" s="5" t="s">
        <v>33</v>
      </c>
      <c r="C5" s="9" t="s">
        <v>27</v>
      </c>
      <c r="D5" s="5" t="s">
        <v>33</v>
      </c>
      <c r="E5" s="5" t="s">
        <v>33</v>
      </c>
      <c r="F5" s="5" t="s">
        <v>33</v>
      </c>
      <c r="G5" s="9" t="s">
        <v>27</v>
      </c>
      <c r="H5" s="9" t="s">
        <v>27</v>
      </c>
      <c r="I5" s="5" t="s">
        <v>33</v>
      </c>
      <c r="J5" s="5" t="s">
        <v>33</v>
      </c>
      <c r="K5" s="9" t="s">
        <v>27</v>
      </c>
      <c r="L5" s="5" t="s">
        <v>33</v>
      </c>
      <c r="M5" s="5" t="s">
        <v>33</v>
      </c>
      <c r="N5" s="5" t="s">
        <v>33</v>
      </c>
      <c r="O5" s="2">
        <f t="shared" si="0"/>
        <v>4</v>
      </c>
      <c r="P5" s="1">
        <f t="shared" si="1"/>
        <v>0.30769230769230771</v>
      </c>
      <c r="Q5" s="2" t="s">
        <v>34</v>
      </c>
      <c r="R5" s="2" t="s">
        <v>37</v>
      </c>
      <c r="S5" s="15" t="s">
        <v>695</v>
      </c>
      <c r="T5" s="15" t="s">
        <v>139</v>
      </c>
      <c r="U5" t="s">
        <v>140</v>
      </c>
    </row>
    <row r="6" spans="1:21" ht="14.7" customHeight="1">
      <c r="A6" s="8" t="s">
        <v>141</v>
      </c>
      <c r="B6" s="5" t="s">
        <v>33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9" t="s">
        <v>27</v>
      </c>
      <c r="I6" s="9" t="s">
        <v>27</v>
      </c>
      <c r="J6" s="5" t="s">
        <v>33</v>
      </c>
      <c r="K6" s="5" t="s">
        <v>33</v>
      </c>
      <c r="L6" s="5" t="s">
        <v>33</v>
      </c>
      <c r="M6" s="5" t="s">
        <v>33</v>
      </c>
      <c r="N6" s="9" t="s">
        <v>27</v>
      </c>
      <c r="O6" s="2">
        <f t="shared" si="0"/>
        <v>3</v>
      </c>
      <c r="P6" s="1">
        <f t="shared" si="1"/>
        <v>0.23076923076923078</v>
      </c>
      <c r="R6" s="2" t="s">
        <v>33</v>
      </c>
      <c r="S6" s="21"/>
    </row>
    <row r="7" spans="1:21" ht="14.7" customHeight="1">
      <c r="A7" s="8" t="s">
        <v>142</v>
      </c>
      <c r="B7" s="5" t="s">
        <v>33</v>
      </c>
      <c r="C7" s="5" t="s">
        <v>33</v>
      </c>
      <c r="D7" s="5" t="s">
        <v>33</v>
      </c>
      <c r="E7" s="5" t="s">
        <v>33</v>
      </c>
      <c r="F7" s="5" t="s">
        <v>33</v>
      </c>
      <c r="G7" s="5" t="s">
        <v>33</v>
      </c>
      <c r="H7" s="9" t="s">
        <v>27</v>
      </c>
      <c r="I7" s="9" t="s">
        <v>27</v>
      </c>
      <c r="J7" s="5" t="s">
        <v>33</v>
      </c>
      <c r="K7" s="5" t="s">
        <v>33</v>
      </c>
      <c r="L7" s="5" t="s">
        <v>33</v>
      </c>
      <c r="M7" s="5" t="s">
        <v>33</v>
      </c>
      <c r="N7" s="5" t="s">
        <v>33</v>
      </c>
      <c r="O7" s="2">
        <f t="shared" si="0"/>
        <v>2</v>
      </c>
      <c r="P7" s="1">
        <f t="shared" si="1"/>
        <v>0.15384615384615385</v>
      </c>
      <c r="R7" s="2" t="s">
        <v>33</v>
      </c>
      <c r="S7" s="21"/>
    </row>
    <row r="8" spans="1:21" ht="14.7" customHeight="1">
      <c r="A8" s="8" t="s">
        <v>143</v>
      </c>
      <c r="B8" s="9" t="s">
        <v>27</v>
      </c>
      <c r="C8" s="5" t="s">
        <v>33</v>
      </c>
      <c r="D8" s="9" t="s">
        <v>27</v>
      </c>
      <c r="E8" s="9" t="s">
        <v>27</v>
      </c>
      <c r="F8" s="5" t="s">
        <v>33</v>
      </c>
      <c r="G8" s="9" t="s">
        <v>27</v>
      </c>
      <c r="H8" s="5" t="s">
        <v>33</v>
      </c>
      <c r="I8" s="5" t="s">
        <v>33</v>
      </c>
      <c r="J8" s="9" t="s">
        <v>27</v>
      </c>
      <c r="K8" s="9" t="s">
        <v>27</v>
      </c>
      <c r="L8" s="5" t="s">
        <v>33</v>
      </c>
      <c r="M8" s="5" t="s">
        <v>33</v>
      </c>
      <c r="N8" s="9" t="s">
        <v>27</v>
      </c>
      <c r="O8" s="2">
        <f t="shared" si="0"/>
        <v>7</v>
      </c>
      <c r="P8" s="1">
        <f t="shared" si="1"/>
        <v>0.53846153846153844</v>
      </c>
      <c r="Q8" s="2" t="s">
        <v>34</v>
      </c>
      <c r="R8" s="2" t="s">
        <v>37</v>
      </c>
      <c r="S8" t="s">
        <v>690</v>
      </c>
      <c r="T8" t="s">
        <v>144</v>
      </c>
      <c r="U8" t="s">
        <v>145</v>
      </c>
    </row>
    <row r="9" spans="1:21" ht="14.7" customHeight="1">
      <c r="A9" t="s">
        <v>146</v>
      </c>
      <c r="B9" s="10" t="s">
        <v>27</v>
      </c>
      <c r="C9" s="5" t="s">
        <v>33</v>
      </c>
      <c r="D9" s="5" t="s">
        <v>33</v>
      </c>
      <c r="E9" s="5" t="s">
        <v>33</v>
      </c>
      <c r="F9" s="9" t="s">
        <v>27</v>
      </c>
      <c r="G9" s="5" t="s">
        <v>33</v>
      </c>
      <c r="H9" s="5" t="s">
        <v>33</v>
      </c>
      <c r="I9" s="5" t="s">
        <v>33</v>
      </c>
      <c r="J9" s="9" t="s">
        <v>27</v>
      </c>
      <c r="K9" s="9" t="s">
        <v>27</v>
      </c>
      <c r="L9" s="9" t="s">
        <v>27</v>
      </c>
      <c r="M9" s="5" t="s">
        <v>33</v>
      </c>
      <c r="N9" s="5" t="s">
        <v>33</v>
      </c>
      <c r="O9" s="2">
        <f t="shared" si="0"/>
        <v>5</v>
      </c>
      <c r="P9" s="1">
        <f t="shared" si="1"/>
        <v>0.38461538461538464</v>
      </c>
      <c r="Q9" s="2" t="s">
        <v>34</v>
      </c>
      <c r="R9" s="2" t="s">
        <v>37</v>
      </c>
      <c r="S9" t="s">
        <v>123</v>
      </c>
      <c r="T9" t="s">
        <v>147</v>
      </c>
      <c r="U9" t="s">
        <v>145</v>
      </c>
    </row>
    <row r="10" spans="1:21" ht="14.7" customHeight="1">
      <c r="A10" t="s">
        <v>148</v>
      </c>
      <c r="B10" s="10" t="s">
        <v>27</v>
      </c>
      <c r="C10" s="6" t="s">
        <v>33</v>
      </c>
      <c r="D10" s="5" t="s">
        <v>33</v>
      </c>
      <c r="E10" s="5" t="s">
        <v>33</v>
      </c>
      <c r="F10" s="5" t="s">
        <v>33</v>
      </c>
      <c r="G10" s="10" t="s">
        <v>27</v>
      </c>
      <c r="H10" s="5" t="s">
        <v>33</v>
      </c>
      <c r="I10" s="5" t="s">
        <v>33</v>
      </c>
      <c r="J10" s="9" t="s">
        <v>27</v>
      </c>
      <c r="K10" s="9" t="s">
        <v>27</v>
      </c>
      <c r="L10" s="5" t="s">
        <v>33</v>
      </c>
      <c r="M10" s="5" t="s">
        <v>33</v>
      </c>
      <c r="N10" s="9" t="s">
        <v>27</v>
      </c>
      <c r="O10" s="2">
        <f t="shared" si="0"/>
        <v>5</v>
      </c>
      <c r="P10" s="1">
        <f t="shared" si="1"/>
        <v>0.38461538461538464</v>
      </c>
      <c r="Q10" s="2" t="s">
        <v>34</v>
      </c>
      <c r="R10" s="2" t="s">
        <v>37</v>
      </c>
      <c r="S10" t="s">
        <v>123</v>
      </c>
      <c r="T10" t="s">
        <v>149</v>
      </c>
      <c r="U10" t="s">
        <v>145</v>
      </c>
    </row>
    <row r="11" spans="1:21" s="73" customFormat="1" ht="14.7" customHeight="1">
      <c r="A11" s="16" t="s">
        <v>150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5"/>
      <c r="P11" s="19"/>
      <c r="Q11" s="35"/>
      <c r="R11" s="35"/>
      <c r="S11" s="34"/>
      <c r="T11" s="34"/>
      <c r="U11" s="34"/>
    </row>
    <row r="12" spans="1:21" ht="14.7" customHeight="1">
      <c r="A12" t="s">
        <v>151</v>
      </c>
      <c r="B12" s="5" t="s">
        <v>33</v>
      </c>
      <c r="C12" s="5" t="s">
        <v>33</v>
      </c>
      <c r="D12" s="5" t="s">
        <v>33</v>
      </c>
      <c r="E12" s="9" t="s">
        <v>27</v>
      </c>
      <c r="F12" s="5" t="s">
        <v>33</v>
      </c>
      <c r="G12" s="5" t="s">
        <v>33</v>
      </c>
      <c r="H12" s="5" t="s">
        <v>33</v>
      </c>
      <c r="I12" s="5" t="s">
        <v>33</v>
      </c>
      <c r="J12" s="5" t="s">
        <v>33</v>
      </c>
      <c r="K12" s="5" t="s">
        <v>33</v>
      </c>
      <c r="L12" s="5" t="s">
        <v>33</v>
      </c>
      <c r="M12" s="5" t="s">
        <v>33</v>
      </c>
      <c r="N12" s="5" t="s">
        <v>33</v>
      </c>
      <c r="O12" s="2">
        <f t="shared" ref="O12:O33" si="2">COUNTIF(B12:N12,"✔")</f>
        <v>1</v>
      </c>
      <c r="P12" s="1">
        <f>O12/13</f>
        <v>7.6923076923076927E-2</v>
      </c>
      <c r="Q12" s="5"/>
      <c r="R12" s="2" t="s">
        <v>152</v>
      </c>
    </row>
    <row r="13" spans="1:21" ht="14.7" customHeight="1">
      <c r="A13" t="s">
        <v>153</v>
      </c>
      <c r="B13" s="9" t="s">
        <v>27</v>
      </c>
      <c r="C13" s="9" t="s">
        <v>27</v>
      </c>
      <c r="D13" s="9" t="s">
        <v>27</v>
      </c>
      <c r="E13" s="5" t="s">
        <v>33</v>
      </c>
      <c r="F13" s="9" t="s">
        <v>27</v>
      </c>
      <c r="G13" s="5" t="s">
        <v>33</v>
      </c>
      <c r="H13" s="5" t="s">
        <v>33</v>
      </c>
      <c r="I13" s="5" t="s">
        <v>33</v>
      </c>
      <c r="J13" s="9" t="s">
        <v>27</v>
      </c>
      <c r="K13" s="9" t="s">
        <v>27</v>
      </c>
      <c r="L13" s="5" t="s">
        <v>33</v>
      </c>
      <c r="M13" s="9" t="s">
        <v>27</v>
      </c>
      <c r="N13" s="9" t="s">
        <v>27</v>
      </c>
      <c r="O13" s="2">
        <f>COUNTIF(B13:N13,"✔")</f>
        <v>8</v>
      </c>
      <c r="P13" s="1">
        <f t="shared" ref="P13:P33" si="3">O13/13</f>
        <v>0.61538461538461542</v>
      </c>
      <c r="Q13" s="2" t="s">
        <v>34</v>
      </c>
      <c r="R13" s="2" t="s">
        <v>37</v>
      </c>
      <c r="S13" t="s">
        <v>154</v>
      </c>
      <c r="T13" t="s">
        <v>155</v>
      </c>
      <c r="U13" t="s">
        <v>31</v>
      </c>
    </row>
    <row r="14" spans="1:21" ht="14.7" customHeight="1">
      <c r="A14" t="s">
        <v>156</v>
      </c>
      <c r="B14" s="9" t="s">
        <v>27</v>
      </c>
      <c r="C14" s="9" t="s">
        <v>27</v>
      </c>
      <c r="D14" s="9" t="s">
        <v>27</v>
      </c>
      <c r="E14" s="5" t="s">
        <v>33</v>
      </c>
      <c r="F14" s="9" t="s">
        <v>27</v>
      </c>
      <c r="G14" s="9" t="s">
        <v>27</v>
      </c>
      <c r="H14" s="5" t="s">
        <v>33</v>
      </c>
      <c r="I14" s="5" t="s">
        <v>33</v>
      </c>
      <c r="J14" s="9" t="s">
        <v>27</v>
      </c>
      <c r="K14" s="9" t="s">
        <v>27</v>
      </c>
      <c r="L14" s="5" t="s">
        <v>33</v>
      </c>
      <c r="M14" s="5" t="s">
        <v>33</v>
      </c>
      <c r="N14" s="9" t="s">
        <v>27</v>
      </c>
      <c r="O14" s="2">
        <f t="shared" si="2"/>
        <v>8</v>
      </c>
      <c r="P14" s="1">
        <f t="shared" si="3"/>
        <v>0.61538461538461542</v>
      </c>
      <c r="Q14" s="36" t="s">
        <v>34</v>
      </c>
      <c r="R14" s="36" t="s">
        <v>37</v>
      </c>
      <c r="S14" s="37" t="s">
        <v>696</v>
      </c>
      <c r="T14" s="37" t="s">
        <v>157</v>
      </c>
      <c r="U14" s="37" t="s">
        <v>158</v>
      </c>
    </row>
    <row r="15" spans="1:21" ht="14.7" customHeight="1">
      <c r="A15" t="s">
        <v>159</v>
      </c>
      <c r="B15" s="9" t="s">
        <v>27</v>
      </c>
      <c r="C15" s="9" t="s">
        <v>27</v>
      </c>
      <c r="D15" s="5" t="s">
        <v>33</v>
      </c>
      <c r="E15" s="5" t="s">
        <v>33</v>
      </c>
      <c r="F15" s="5" t="s">
        <v>33</v>
      </c>
      <c r="G15" s="9" t="s">
        <v>27</v>
      </c>
      <c r="H15" s="5" t="s">
        <v>33</v>
      </c>
      <c r="I15" s="5" t="s">
        <v>33</v>
      </c>
      <c r="J15" s="9" t="s">
        <v>27</v>
      </c>
      <c r="K15" s="9" t="s">
        <v>27</v>
      </c>
      <c r="L15" s="9" t="s">
        <v>27</v>
      </c>
      <c r="M15" s="5" t="s">
        <v>33</v>
      </c>
      <c r="N15" s="9" t="s">
        <v>27</v>
      </c>
      <c r="O15" s="2">
        <f t="shared" si="2"/>
        <v>7</v>
      </c>
      <c r="P15" s="1">
        <f t="shared" si="3"/>
        <v>0.53846153846153844</v>
      </c>
      <c r="Q15" s="36" t="s">
        <v>34</v>
      </c>
      <c r="R15" s="36" t="s">
        <v>134</v>
      </c>
      <c r="S15" s="37" t="s">
        <v>135</v>
      </c>
      <c r="T15" s="37" t="s">
        <v>160</v>
      </c>
      <c r="U15" s="37" t="s">
        <v>161</v>
      </c>
    </row>
    <row r="16" spans="1:21" ht="14.7" customHeight="1">
      <c r="A16" t="s">
        <v>162</v>
      </c>
      <c r="B16" s="9" t="s">
        <v>27</v>
      </c>
      <c r="C16" s="5" t="s">
        <v>33</v>
      </c>
      <c r="D16" s="9" t="s">
        <v>27</v>
      </c>
      <c r="E16" s="5" t="s">
        <v>33</v>
      </c>
      <c r="F16" s="9" t="s">
        <v>27</v>
      </c>
      <c r="G16" s="9" t="s">
        <v>27</v>
      </c>
      <c r="H16" s="5" t="s">
        <v>33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2">
        <f t="shared" si="2"/>
        <v>10</v>
      </c>
      <c r="P16" s="1">
        <f t="shared" si="3"/>
        <v>0.76923076923076927</v>
      </c>
      <c r="Q16" s="36" t="s">
        <v>34</v>
      </c>
      <c r="R16" s="36" t="s">
        <v>134</v>
      </c>
      <c r="S16" s="37" t="s">
        <v>135</v>
      </c>
      <c r="T16" s="37" t="s">
        <v>124</v>
      </c>
      <c r="U16" s="37" t="s">
        <v>136</v>
      </c>
    </row>
    <row r="17" spans="1:21" ht="14.7" customHeight="1">
      <c r="A17" t="s">
        <v>163</v>
      </c>
      <c r="B17" s="9" t="s">
        <v>27</v>
      </c>
      <c r="C17" s="9" t="s">
        <v>27</v>
      </c>
      <c r="D17" s="9" t="s">
        <v>27</v>
      </c>
      <c r="E17" s="5" t="s">
        <v>33</v>
      </c>
      <c r="F17" s="5" t="s">
        <v>33</v>
      </c>
      <c r="G17" s="9" t="s">
        <v>27</v>
      </c>
      <c r="H17" s="5" t="s">
        <v>33</v>
      </c>
      <c r="I17" s="5" t="s">
        <v>33</v>
      </c>
      <c r="J17" s="5" t="s">
        <v>33</v>
      </c>
      <c r="K17" s="9" t="s">
        <v>27</v>
      </c>
      <c r="L17" s="9" t="s">
        <v>27</v>
      </c>
      <c r="M17" s="5" t="s">
        <v>33</v>
      </c>
      <c r="N17" s="5" t="s">
        <v>33</v>
      </c>
      <c r="O17" s="2">
        <f t="shared" si="2"/>
        <v>6</v>
      </c>
      <c r="P17" s="1">
        <f t="shared" si="3"/>
        <v>0.46153846153846156</v>
      </c>
      <c r="Q17" s="38" t="s">
        <v>34</v>
      </c>
      <c r="R17" s="38" t="s">
        <v>164</v>
      </c>
      <c r="S17" s="39" t="s">
        <v>165</v>
      </c>
      <c r="T17" s="39" t="s">
        <v>124</v>
      </c>
      <c r="U17" s="39" t="s">
        <v>166</v>
      </c>
    </row>
    <row r="18" spans="1:21" ht="14.7" customHeight="1">
      <c r="A18" t="s">
        <v>167</v>
      </c>
      <c r="B18" s="9" t="s">
        <v>27</v>
      </c>
      <c r="C18" s="5" t="s">
        <v>33</v>
      </c>
      <c r="D18" s="9" t="s">
        <v>27</v>
      </c>
      <c r="E18" s="5" t="s">
        <v>33</v>
      </c>
      <c r="F18" s="5" t="s">
        <v>33</v>
      </c>
      <c r="G18" s="9" t="s">
        <v>27</v>
      </c>
      <c r="H18" s="5" t="s">
        <v>33</v>
      </c>
      <c r="I18" s="5" t="s">
        <v>33</v>
      </c>
      <c r="J18" s="9" t="s">
        <v>27</v>
      </c>
      <c r="K18" s="9" t="s">
        <v>27</v>
      </c>
      <c r="L18" s="5" t="s">
        <v>33</v>
      </c>
      <c r="M18" s="5" t="s">
        <v>33</v>
      </c>
      <c r="N18" s="5" t="s">
        <v>33</v>
      </c>
      <c r="O18" s="2">
        <f t="shared" si="2"/>
        <v>5</v>
      </c>
      <c r="P18" s="1">
        <f t="shared" si="3"/>
        <v>0.38461538461538464</v>
      </c>
      <c r="Q18" s="38" t="s">
        <v>34</v>
      </c>
      <c r="R18" s="38" t="s">
        <v>134</v>
      </c>
      <c r="S18" s="39" t="s">
        <v>135</v>
      </c>
      <c r="T18" s="39" t="s">
        <v>168</v>
      </c>
      <c r="U18" s="39" t="s">
        <v>161</v>
      </c>
    </row>
    <row r="19" spans="1:21" ht="14.7" customHeight="1">
      <c r="A19" t="s">
        <v>169</v>
      </c>
      <c r="B19" s="9" t="s">
        <v>27</v>
      </c>
      <c r="C19" s="5" t="s">
        <v>33</v>
      </c>
      <c r="D19" s="9" t="s">
        <v>27</v>
      </c>
      <c r="E19" s="5" t="s">
        <v>33</v>
      </c>
      <c r="F19" s="5" t="s">
        <v>33</v>
      </c>
      <c r="G19" s="5" t="s">
        <v>33</v>
      </c>
      <c r="H19" s="5" t="s">
        <v>33</v>
      </c>
      <c r="I19" s="5" t="s">
        <v>33</v>
      </c>
      <c r="J19" s="9" t="s">
        <v>27</v>
      </c>
      <c r="K19" s="9" t="s">
        <v>27</v>
      </c>
      <c r="L19" s="5" t="s">
        <v>33</v>
      </c>
      <c r="M19" s="9" t="s">
        <v>27</v>
      </c>
      <c r="N19" s="5" t="s">
        <v>33</v>
      </c>
      <c r="O19" s="2">
        <f t="shared" si="2"/>
        <v>5</v>
      </c>
      <c r="P19" s="1">
        <f t="shared" si="3"/>
        <v>0.38461538461538464</v>
      </c>
      <c r="Q19" s="36" t="s">
        <v>34</v>
      </c>
      <c r="R19" s="36" t="s">
        <v>134</v>
      </c>
      <c r="S19" s="37" t="s">
        <v>170</v>
      </c>
      <c r="T19" s="37" t="s">
        <v>124</v>
      </c>
      <c r="U19" s="37" t="s">
        <v>171</v>
      </c>
    </row>
    <row r="20" spans="1:21" ht="14.7" customHeight="1">
      <c r="A20" t="s">
        <v>172</v>
      </c>
      <c r="B20" s="9" t="s">
        <v>27</v>
      </c>
      <c r="C20" s="5" t="s">
        <v>33</v>
      </c>
      <c r="D20" s="9" t="s">
        <v>27</v>
      </c>
      <c r="E20" s="5" t="s">
        <v>33</v>
      </c>
      <c r="F20" s="5" t="s">
        <v>33</v>
      </c>
      <c r="G20" s="9" t="s">
        <v>27</v>
      </c>
      <c r="H20" s="5" t="s">
        <v>33</v>
      </c>
      <c r="I20" s="5" t="s">
        <v>33</v>
      </c>
      <c r="J20" s="9" t="s">
        <v>27</v>
      </c>
      <c r="K20" s="9" t="s">
        <v>27</v>
      </c>
      <c r="L20" s="5" t="s">
        <v>33</v>
      </c>
      <c r="M20" s="5" t="s">
        <v>33</v>
      </c>
      <c r="N20" s="5" t="s">
        <v>33</v>
      </c>
      <c r="O20" s="2">
        <f t="shared" si="2"/>
        <v>5</v>
      </c>
      <c r="P20" s="1">
        <f t="shared" si="3"/>
        <v>0.38461538461538464</v>
      </c>
      <c r="Q20" s="36" t="s">
        <v>34</v>
      </c>
      <c r="R20" s="36" t="s">
        <v>134</v>
      </c>
      <c r="S20" s="37" t="s">
        <v>135</v>
      </c>
      <c r="T20" s="37" t="s">
        <v>173</v>
      </c>
      <c r="U20" s="37" t="s">
        <v>145</v>
      </c>
    </row>
    <row r="21" spans="1:21" ht="14.7" customHeight="1">
      <c r="A21" t="s">
        <v>174</v>
      </c>
      <c r="B21" s="5" t="s">
        <v>33</v>
      </c>
      <c r="C21" s="5" t="s">
        <v>33</v>
      </c>
      <c r="D21" s="9" t="s">
        <v>27</v>
      </c>
      <c r="E21" s="5" t="s">
        <v>33</v>
      </c>
      <c r="F21" s="5" t="s">
        <v>33</v>
      </c>
      <c r="G21" s="9" t="s">
        <v>27</v>
      </c>
      <c r="H21" s="5" t="s">
        <v>33</v>
      </c>
      <c r="I21" s="5" t="s">
        <v>33</v>
      </c>
      <c r="J21" s="9" t="s">
        <v>27</v>
      </c>
      <c r="K21" s="9" t="s">
        <v>27</v>
      </c>
      <c r="L21" s="5" t="s">
        <v>33</v>
      </c>
      <c r="M21" s="5" t="s">
        <v>33</v>
      </c>
      <c r="N21" s="5" t="s">
        <v>33</v>
      </c>
      <c r="O21" s="2">
        <f t="shared" si="2"/>
        <v>4</v>
      </c>
      <c r="P21" s="1">
        <f t="shared" si="3"/>
        <v>0.30769230769230771</v>
      </c>
      <c r="Q21" s="36" t="s">
        <v>34</v>
      </c>
      <c r="R21" s="36" t="s">
        <v>134</v>
      </c>
      <c r="S21" s="37" t="s">
        <v>135</v>
      </c>
      <c r="T21" s="37" t="s">
        <v>173</v>
      </c>
      <c r="U21" s="37" t="s">
        <v>145</v>
      </c>
    </row>
    <row r="22" spans="1:21" ht="14.7" customHeight="1">
      <c r="A22" t="s">
        <v>175</v>
      </c>
      <c r="B22" s="9" t="s">
        <v>27</v>
      </c>
      <c r="C22" s="9" t="s">
        <v>27</v>
      </c>
      <c r="D22" s="9" t="s">
        <v>27</v>
      </c>
      <c r="E22" s="9" t="s">
        <v>27</v>
      </c>
      <c r="F22" s="9" t="s">
        <v>27</v>
      </c>
      <c r="G22" s="9" t="s">
        <v>27</v>
      </c>
      <c r="H22" s="9" t="s">
        <v>27</v>
      </c>
      <c r="I22" s="9" t="s">
        <v>27</v>
      </c>
      <c r="J22" s="9" t="s">
        <v>27</v>
      </c>
      <c r="K22" s="9" t="s">
        <v>27</v>
      </c>
      <c r="L22" s="9" t="s">
        <v>27</v>
      </c>
      <c r="M22" s="5" t="s">
        <v>33</v>
      </c>
      <c r="N22" s="9" t="s">
        <v>27</v>
      </c>
      <c r="O22" s="2">
        <f t="shared" si="2"/>
        <v>12</v>
      </c>
      <c r="P22" s="1">
        <f t="shared" si="3"/>
        <v>0.92307692307692313</v>
      </c>
      <c r="Q22" s="36" t="s">
        <v>34</v>
      </c>
      <c r="R22" s="36" t="s">
        <v>134</v>
      </c>
      <c r="S22" s="37" t="s">
        <v>135</v>
      </c>
      <c r="T22" s="37" t="s">
        <v>173</v>
      </c>
      <c r="U22" s="37" t="s">
        <v>145</v>
      </c>
    </row>
    <row r="23" spans="1:21" ht="14.7" customHeight="1">
      <c r="A23" t="s">
        <v>176</v>
      </c>
      <c r="B23" s="5" t="s">
        <v>33</v>
      </c>
      <c r="C23" s="5" t="s">
        <v>33</v>
      </c>
      <c r="D23" s="9" t="s">
        <v>27</v>
      </c>
      <c r="E23" s="5" t="s">
        <v>33</v>
      </c>
      <c r="F23" s="5" t="s">
        <v>33</v>
      </c>
      <c r="G23" s="9" t="s">
        <v>27</v>
      </c>
      <c r="H23" s="5" t="s">
        <v>33</v>
      </c>
      <c r="I23" s="5" t="s">
        <v>33</v>
      </c>
      <c r="J23" s="9" t="s">
        <v>27</v>
      </c>
      <c r="K23" s="9" t="s">
        <v>27</v>
      </c>
      <c r="L23" s="5" t="s">
        <v>33</v>
      </c>
      <c r="M23" s="5" t="s">
        <v>33</v>
      </c>
      <c r="N23" s="5" t="s">
        <v>33</v>
      </c>
      <c r="O23" s="2">
        <f t="shared" si="2"/>
        <v>4</v>
      </c>
      <c r="P23" s="1">
        <f t="shared" si="3"/>
        <v>0.30769230769230771</v>
      </c>
      <c r="Q23" s="36" t="s">
        <v>34</v>
      </c>
      <c r="R23" s="36" t="s">
        <v>37</v>
      </c>
      <c r="S23" s="37" t="s">
        <v>696</v>
      </c>
      <c r="T23" s="37" t="s">
        <v>177</v>
      </c>
      <c r="U23" s="37" t="s">
        <v>92</v>
      </c>
    </row>
    <row r="24" spans="1:21" ht="14.7" customHeight="1">
      <c r="A24" t="s">
        <v>178</v>
      </c>
      <c r="B24" s="9" t="s">
        <v>27</v>
      </c>
      <c r="C24" s="5" t="s">
        <v>33</v>
      </c>
      <c r="D24" s="5" t="s">
        <v>33</v>
      </c>
      <c r="E24" s="5" t="s">
        <v>33</v>
      </c>
      <c r="F24" s="5" t="s">
        <v>33</v>
      </c>
      <c r="G24" s="5" t="s">
        <v>33</v>
      </c>
      <c r="H24" s="5" t="s">
        <v>33</v>
      </c>
      <c r="I24" s="5" t="s">
        <v>33</v>
      </c>
      <c r="J24" s="9" t="s">
        <v>27</v>
      </c>
      <c r="K24" s="5" t="s">
        <v>33</v>
      </c>
      <c r="L24" s="5" t="s">
        <v>33</v>
      </c>
      <c r="M24" s="5" t="s">
        <v>33</v>
      </c>
      <c r="N24" s="5" t="s">
        <v>33</v>
      </c>
      <c r="O24" s="2">
        <f t="shared" si="2"/>
        <v>2</v>
      </c>
      <c r="P24" s="1">
        <f t="shared" si="3"/>
        <v>0.15384615384615385</v>
      </c>
      <c r="Q24" s="36" t="s">
        <v>34</v>
      </c>
      <c r="R24" s="36" t="s">
        <v>134</v>
      </c>
      <c r="S24" s="37" t="s">
        <v>135</v>
      </c>
      <c r="T24" s="37" t="s">
        <v>179</v>
      </c>
      <c r="U24" s="37" t="s">
        <v>180</v>
      </c>
    </row>
    <row r="25" spans="1:21" ht="14.7" customHeight="1">
      <c r="A25" t="s">
        <v>181</v>
      </c>
      <c r="B25" s="9" t="s">
        <v>27</v>
      </c>
      <c r="C25" s="5" t="s">
        <v>33</v>
      </c>
      <c r="D25" s="5" t="s">
        <v>33</v>
      </c>
      <c r="E25" s="5" t="s">
        <v>33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9" t="s">
        <v>27</v>
      </c>
      <c r="L25" s="5" t="s">
        <v>33</v>
      </c>
      <c r="M25" s="5" t="s">
        <v>33</v>
      </c>
      <c r="N25" s="5" t="s">
        <v>33</v>
      </c>
      <c r="O25" s="2">
        <f t="shared" si="2"/>
        <v>2</v>
      </c>
      <c r="P25" s="1">
        <f t="shared" si="3"/>
        <v>0.15384615384615385</v>
      </c>
      <c r="Q25" s="36" t="s">
        <v>28</v>
      </c>
      <c r="R25" s="2" t="s">
        <v>29</v>
      </c>
      <c r="S25" t="s">
        <v>182</v>
      </c>
      <c r="T25" t="s">
        <v>183</v>
      </c>
      <c r="U25" t="s">
        <v>31</v>
      </c>
    </row>
    <row r="26" spans="1:21" ht="14.7" customHeight="1">
      <c r="A26" t="s">
        <v>184</v>
      </c>
      <c r="B26" s="9" t="s">
        <v>27</v>
      </c>
      <c r="C26" s="5" t="s">
        <v>33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9" t="s">
        <v>27</v>
      </c>
      <c r="L26" s="5" t="s">
        <v>33</v>
      </c>
      <c r="M26" s="5" t="s">
        <v>33</v>
      </c>
      <c r="N26" s="5" t="s">
        <v>33</v>
      </c>
      <c r="O26" s="2">
        <f t="shared" si="2"/>
        <v>2</v>
      </c>
      <c r="P26" s="1">
        <f t="shared" si="3"/>
        <v>0.15384615384615385</v>
      </c>
      <c r="Q26" s="36" t="s">
        <v>28</v>
      </c>
      <c r="R26" s="2" t="s">
        <v>29</v>
      </c>
      <c r="S26" t="s">
        <v>182</v>
      </c>
      <c r="T26" t="s">
        <v>183</v>
      </c>
      <c r="U26" t="s">
        <v>31</v>
      </c>
    </row>
    <row r="27" spans="1:21" ht="14.7" customHeight="1">
      <c r="A27" t="s">
        <v>185</v>
      </c>
      <c r="B27" s="5" t="s">
        <v>33</v>
      </c>
      <c r="C27" s="9" t="s">
        <v>27</v>
      </c>
      <c r="D27" s="5" t="s">
        <v>33</v>
      </c>
      <c r="E27" s="5" t="s">
        <v>33</v>
      </c>
      <c r="F27" s="5" t="s">
        <v>33</v>
      </c>
      <c r="G27" s="5" t="s">
        <v>33</v>
      </c>
      <c r="H27" s="5" t="s">
        <v>33</v>
      </c>
      <c r="I27" s="5" t="s">
        <v>33</v>
      </c>
      <c r="J27" s="5" t="s">
        <v>33</v>
      </c>
      <c r="K27" s="5" t="s">
        <v>33</v>
      </c>
      <c r="L27" s="5" t="s">
        <v>33</v>
      </c>
      <c r="M27" s="5" t="s">
        <v>33</v>
      </c>
      <c r="N27" s="9" t="s">
        <v>27</v>
      </c>
      <c r="O27" s="2">
        <f t="shared" si="2"/>
        <v>2</v>
      </c>
      <c r="P27" s="1">
        <f t="shared" si="3"/>
        <v>0.15384615384615385</v>
      </c>
      <c r="R27" s="2" t="s">
        <v>33</v>
      </c>
    </row>
    <row r="28" spans="1:21" ht="14.7" customHeight="1">
      <c r="A28" t="s">
        <v>186</v>
      </c>
      <c r="B28" s="5" t="s">
        <v>33</v>
      </c>
      <c r="C28" s="5" t="s">
        <v>33</v>
      </c>
      <c r="D28" s="9" t="s">
        <v>27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9" t="s">
        <v>27</v>
      </c>
      <c r="K28" s="9" t="s">
        <v>27</v>
      </c>
      <c r="L28" s="5" t="s">
        <v>33</v>
      </c>
      <c r="M28" s="5" t="s">
        <v>33</v>
      </c>
      <c r="N28" s="5" t="s">
        <v>33</v>
      </c>
      <c r="O28" s="2">
        <f t="shared" si="2"/>
        <v>3</v>
      </c>
      <c r="P28" s="1">
        <f t="shared" si="3"/>
        <v>0.23076923076923078</v>
      </c>
      <c r="Q28" s="2" t="s">
        <v>28</v>
      </c>
      <c r="R28" s="2" t="s">
        <v>37</v>
      </c>
      <c r="S28" t="s">
        <v>696</v>
      </c>
      <c r="T28" t="s">
        <v>187</v>
      </c>
      <c r="U28" t="s">
        <v>188</v>
      </c>
    </row>
    <row r="29" spans="1:21" ht="14.7" customHeight="1">
      <c r="A29" t="s">
        <v>189</v>
      </c>
      <c r="B29" s="5" t="s">
        <v>33</v>
      </c>
      <c r="C29" s="5" t="s">
        <v>33</v>
      </c>
      <c r="D29" s="9" t="s">
        <v>27</v>
      </c>
      <c r="E29" s="5" t="s">
        <v>33</v>
      </c>
      <c r="F29" s="5" t="s">
        <v>33</v>
      </c>
      <c r="G29" s="5" t="s">
        <v>33</v>
      </c>
      <c r="H29" s="5" t="s">
        <v>33</v>
      </c>
      <c r="I29" s="5" t="s">
        <v>33</v>
      </c>
      <c r="J29" s="5" t="s">
        <v>33</v>
      </c>
      <c r="K29" s="5" t="s">
        <v>33</v>
      </c>
      <c r="L29" s="5" t="s">
        <v>33</v>
      </c>
      <c r="M29" s="5" t="s">
        <v>33</v>
      </c>
      <c r="N29" s="5" t="s">
        <v>33</v>
      </c>
      <c r="O29" s="2">
        <f t="shared" si="2"/>
        <v>1</v>
      </c>
      <c r="P29" s="1">
        <f t="shared" si="3"/>
        <v>7.6923076923076927E-2</v>
      </c>
      <c r="Q29" s="2" t="s">
        <v>28</v>
      </c>
      <c r="R29" s="2" t="s">
        <v>29</v>
      </c>
      <c r="S29" t="s">
        <v>182</v>
      </c>
      <c r="T29" t="s">
        <v>183</v>
      </c>
      <c r="U29" t="s">
        <v>31</v>
      </c>
    </row>
    <row r="30" spans="1:21" ht="14.7" customHeight="1">
      <c r="A30" t="s">
        <v>190</v>
      </c>
      <c r="B30" s="5" t="s">
        <v>33</v>
      </c>
      <c r="C30" s="5" t="s">
        <v>33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9" t="s">
        <v>27</v>
      </c>
      <c r="K30" s="5" t="s">
        <v>33</v>
      </c>
      <c r="L30" s="5" t="s">
        <v>33</v>
      </c>
      <c r="M30" s="5" t="s">
        <v>33</v>
      </c>
      <c r="N30" s="5" t="s">
        <v>33</v>
      </c>
      <c r="O30" s="2">
        <f t="shared" si="2"/>
        <v>1</v>
      </c>
      <c r="P30" s="1">
        <f t="shared" si="3"/>
        <v>7.6923076923076927E-2</v>
      </c>
      <c r="Q30" s="2" t="s">
        <v>28</v>
      </c>
      <c r="R30" s="2" t="s">
        <v>29</v>
      </c>
      <c r="S30" t="s">
        <v>182</v>
      </c>
      <c r="T30" t="s">
        <v>183</v>
      </c>
      <c r="U30" t="s">
        <v>31</v>
      </c>
    </row>
    <row r="31" spans="1:21" ht="14.7" customHeight="1">
      <c r="A31" t="s">
        <v>191</v>
      </c>
      <c r="B31" s="5" t="s">
        <v>33</v>
      </c>
      <c r="C31" s="5" t="s">
        <v>33</v>
      </c>
      <c r="D31" s="5" t="s">
        <v>33</v>
      </c>
      <c r="E31" s="5" t="s">
        <v>33</v>
      </c>
      <c r="F31" s="5" t="s">
        <v>33</v>
      </c>
      <c r="G31" s="5" t="s">
        <v>33</v>
      </c>
      <c r="H31" s="5" t="s">
        <v>33</v>
      </c>
      <c r="I31" s="5" t="s">
        <v>33</v>
      </c>
      <c r="J31" s="9" t="s">
        <v>27</v>
      </c>
      <c r="K31" s="5" t="s">
        <v>33</v>
      </c>
      <c r="L31" s="5" t="s">
        <v>33</v>
      </c>
      <c r="M31" s="5" t="s">
        <v>33</v>
      </c>
      <c r="N31" s="5" t="s">
        <v>33</v>
      </c>
      <c r="O31" s="2">
        <f t="shared" si="2"/>
        <v>1</v>
      </c>
      <c r="P31" s="1">
        <f t="shared" si="3"/>
        <v>7.6923076923076927E-2</v>
      </c>
      <c r="R31" s="2" t="s">
        <v>33</v>
      </c>
    </row>
    <row r="32" spans="1:21" ht="14.7" customHeight="1">
      <c r="A32" t="s">
        <v>192</v>
      </c>
      <c r="B32" s="5" t="s">
        <v>33</v>
      </c>
      <c r="C32" s="5" t="s">
        <v>33</v>
      </c>
      <c r="D32" s="5" t="s">
        <v>33</v>
      </c>
      <c r="E32" s="5" t="s">
        <v>33</v>
      </c>
      <c r="F32" s="5" t="s">
        <v>33</v>
      </c>
      <c r="G32" s="5" t="s">
        <v>33</v>
      </c>
      <c r="H32" s="5" t="s">
        <v>33</v>
      </c>
      <c r="I32" s="5" t="s">
        <v>33</v>
      </c>
      <c r="J32" s="5" t="s">
        <v>33</v>
      </c>
      <c r="K32" s="9" t="s">
        <v>27</v>
      </c>
      <c r="L32" s="5" t="s">
        <v>33</v>
      </c>
      <c r="M32" s="5" t="s">
        <v>33</v>
      </c>
      <c r="N32" s="5" t="s">
        <v>33</v>
      </c>
      <c r="O32" s="2">
        <f t="shared" si="2"/>
        <v>1</v>
      </c>
      <c r="P32" s="1">
        <f t="shared" si="3"/>
        <v>7.6923076923076927E-2</v>
      </c>
      <c r="Q32" s="2" t="s">
        <v>34</v>
      </c>
      <c r="R32" s="9" t="s">
        <v>44</v>
      </c>
      <c r="S32" s="21" t="s">
        <v>45</v>
      </c>
      <c r="T32" t="s">
        <v>193</v>
      </c>
      <c r="U32" t="s">
        <v>38</v>
      </c>
    </row>
    <row r="33" spans="1:21" ht="14.7" customHeight="1">
      <c r="A33" t="s">
        <v>194</v>
      </c>
      <c r="B33" s="5" t="s">
        <v>33</v>
      </c>
      <c r="C33" s="5" t="s">
        <v>33</v>
      </c>
      <c r="D33" s="5" t="s">
        <v>33</v>
      </c>
      <c r="E33" s="5" t="s">
        <v>33</v>
      </c>
      <c r="F33" s="5" t="s">
        <v>33</v>
      </c>
      <c r="G33" s="5" t="s">
        <v>33</v>
      </c>
      <c r="H33" s="5" t="s">
        <v>33</v>
      </c>
      <c r="I33" s="5" t="s">
        <v>33</v>
      </c>
      <c r="J33" s="5" t="s">
        <v>33</v>
      </c>
      <c r="K33" s="5" t="s">
        <v>33</v>
      </c>
      <c r="L33" s="5" t="s">
        <v>33</v>
      </c>
      <c r="M33" s="9" t="s">
        <v>27</v>
      </c>
      <c r="N33" s="9" t="s">
        <v>27</v>
      </c>
      <c r="O33" s="2">
        <f t="shared" si="2"/>
        <v>2</v>
      </c>
      <c r="P33" s="1">
        <f t="shared" si="3"/>
        <v>0.15384615384615385</v>
      </c>
      <c r="Q33" s="2" t="s">
        <v>34</v>
      </c>
      <c r="R33" s="2" t="s">
        <v>29</v>
      </c>
      <c r="S33" s="2" t="s">
        <v>694</v>
      </c>
      <c r="T33" s="2" t="s">
        <v>100</v>
      </c>
      <c r="U33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1D40-E0C6-4B9E-8A36-238ACFF205F7}">
  <sheetPr>
    <pageSetUpPr fitToPage="1"/>
  </sheetPr>
  <dimension ref="A1:U42"/>
  <sheetViews>
    <sheetView topLeftCell="A9" zoomScale="70" zoomScaleNormal="70" workbookViewId="0">
      <pane xSplit="1" topLeftCell="V1" activePane="topRight" state="frozen"/>
      <selection activeCell="A24" sqref="A24"/>
      <selection pane="topRight" activeCell="Z25" sqref="A1:XFD1048576"/>
    </sheetView>
  </sheetViews>
  <sheetFormatPr defaultColWidth="9.15234375"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4" t="s">
        <v>195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4" t="s">
        <v>10</v>
      </c>
      <c r="L1" s="3" t="s">
        <v>11</v>
      </c>
      <c r="M1" s="3" t="s">
        <v>20</v>
      </c>
      <c r="N1" s="3" t="s">
        <v>13</v>
      </c>
      <c r="O1" s="3" t="s">
        <v>14</v>
      </c>
      <c r="P1" s="3" t="s">
        <v>15</v>
      </c>
      <c r="Q1" s="14" t="s">
        <v>21</v>
      </c>
      <c r="R1" s="14" t="s">
        <v>22</v>
      </c>
      <c r="S1" s="3" t="s">
        <v>23</v>
      </c>
      <c r="T1" s="3" t="s">
        <v>24</v>
      </c>
      <c r="U1" s="3" t="s">
        <v>25</v>
      </c>
    </row>
    <row r="2" spans="1:21" s="73" customFormat="1" ht="14.7" customHeight="1">
      <c r="A2" s="16" t="s">
        <v>196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35"/>
      <c r="P2" s="41"/>
      <c r="Q2" s="35"/>
      <c r="R2" s="34"/>
      <c r="S2" s="34"/>
      <c r="T2" s="34"/>
      <c r="U2" s="34"/>
    </row>
    <row r="3" spans="1:21" ht="14.7" customHeight="1">
      <c r="A3" t="s">
        <v>197</v>
      </c>
      <c r="B3" s="9" t="s">
        <v>27</v>
      </c>
      <c r="C3" s="5" t="s">
        <v>33</v>
      </c>
      <c r="D3" s="9" t="s">
        <v>27</v>
      </c>
      <c r="E3" s="5" t="s">
        <v>33</v>
      </c>
      <c r="F3" s="5" t="s">
        <v>33</v>
      </c>
      <c r="G3" s="9" t="s">
        <v>27</v>
      </c>
      <c r="H3" s="5" t="s">
        <v>33</v>
      </c>
      <c r="I3" s="5" t="s">
        <v>33</v>
      </c>
      <c r="J3" s="9" t="s">
        <v>27</v>
      </c>
      <c r="K3" s="9" t="s">
        <v>27</v>
      </c>
      <c r="L3" s="9" t="s">
        <v>27</v>
      </c>
      <c r="M3" s="5" t="s">
        <v>33</v>
      </c>
      <c r="N3" s="9" t="s">
        <v>27</v>
      </c>
      <c r="O3" s="2">
        <f t="shared" ref="O3:O10" si="0">COUNTIF(B3:N3,"✔")</f>
        <v>7</v>
      </c>
      <c r="P3" s="12">
        <f>O3/13</f>
        <v>0.53846153846153844</v>
      </c>
      <c r="Q3" s="2" t="s">
        <v>34</v>
      </c>
      <c r="R3" t="s">
        <v>103</v>
      </c>
      <c r="S3" t="s">
        <v>690</v>
      </c>
      <c r="T3" t="s">
        <v>91</v>
      </c>
      <c r="U3" t="s">
        <v>92</v>
      </c>
    </row>
    <row r="4" spans="1:21" ht="14.7" customHeight="1">
      <c r="B4" s="9"/>
      <c r="C4" s="5"/>
      <c r="D4" s="9"/>
      <c r="E4" s="5"/>
      <c r="F4" s="5"/>
      <c r="G4" s="9"/>
      <c r="H4" s="5"/>
      <c r="I4" s="5"/>
      <c r="J4" s="9"/>
      <c r="K4" s="9"/>
      <c r="L4" s="9"/>
      <c r="M4" s="5"/>
      <c r="N4" s="9"/>
      <c r="O4" s="2"/>
      <c r="P4" s="12"/>
      <c r="Q4" s="2" t="s">
        <v>34</v>
      </c>
      <c r="R4" t="s">
        <v>103</v>
      </c>
      <c r="S4" t="s">
        <v>690</v>
      </c>
      <c r="T4" t="s">
        <v>198</v>
      </c>
      <c r="U4" t="s">
        <v>92</v>
      </c>
    </row>
    <row r="5" spans="1:21" ht="14.7" customHeight="1">
      <c r="A5" t="s">
        <v>199</v>
      </c>
      <c r="B5" s="9" t="s">
        <v>27</v>
      </c>
      <c r="C5" s="9" t="s">
        <v>27</v>
      </c>
      <c r="D5" s="9" t="s">
        <v>27</v>
      </c>
      <c r="E5" s="5" t="s">
        <v>33</v>
      </c>
      <c r="F5" s="9" t="s">
        <v>27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27</v>
      </c>
      <c r="M5" s="5" t="s">
        <v>33</v>
      </c>
      <c r="N5" s="9" t="s">
        <v>27</v>
      </c>
      <c r="O5" s="2">
        <f t="shared" si="0"/>
        <v>11</v>
      </c>
      <c r="P5" s="12">
        <f t="shared" ref="P5:P10" si="1">O5/13</f>
        <v>0.84615384615384615</v>
      </c>
      <c r="Q5" s="2" t="s">
        <v>34</v>
      </c>
      <c r="R5" t="s">
        <v>200</v>
      </c>
      <c r="S5" t="s">
        <v>135</v>
      </c>
      <c r="T5" t="s">
        <v>173</v>
      </c>
      <c r="U5" t="s">
        <v>145</v>
      </c>
    </row>
    <row r="6" spans="1:21" ht="14.7" customHeight="1">
      <c r="A6" t="s">
        <v>201</v>
      </c>
      <c r="B6" s="9" t="s">
        <v>27</v>
      </c>
      <c r="C6" s="9" t="s">
        <v>27</v>
      </c>
      <c r="D6" s="9" t="s">
        <v>27</v>
      </c>
      <c r="E6" s="5" t="s">
        <v>33</v>
      </c>
      <c r="F6" s="9" t="s">
        <v>27</v>
      </c>
      <c r="G6" s="9" t="s">
        <v>27</v>
      </c>
      <c r="H6" s="9" t="s">
        <v>27</v>
      </c>
      <c r="I6" s="9" t="s">
        <v>27</v>
      </c>
      <c r="J6" s="9" t="s">
        <v>27</v>
      </c>
      <c r="K6" s="9" t="s">
        <v>27</v>
      </c>
      <c r="L6" s="9" t="s">
        <v>27</v>
      </c>
      <c r="M6" s="5" t="s">
        <v>33</v>
      </c>
      <c r="N6" s="9" t="s">
        <v>27</v>
      </c>
      <c r="O6" s="2">
        <f t="shared" si="0"/>
        <v>11</v>
      </c>
      <c r="P6" s="12">
        <f t="shared" si="1"/>
        <v>0.84615384615384615</v>
      </c>
      <c r="Q6" s="2" t="s">
        <v>34</v>
      </c>
      <c r="R6" t="s">
        <v>200</v>
      </c>
      <c r="S6" t="s">
        <v>135</v>
      </c>
      <c r="T6" t="s">
        <v>173</v>
      </c>
      <c r="U6" t="s">
        <v>145</v>
      </c>
    </row>
    <row r="7" spans="1:21" ht="14.7" customHeight="1">
      <c r="A7" t="s">
        <v>202</v>
      </c>
      <c r="B7" s="9" t="s">
        <v>27</v>
      </c>
      <c r="C7" s="9" t="s">
        <v>27</v>
      </c>
      <c r="D7" s="9" t="s">
        <v>27</v>
      </c>
      <c r="E7" s="5" t="s">
        <v>33</v>
      </c>
      <c r="F7" s="9" t="s">
        <v>27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27</v>
      </c>
      <c r="M7" s="5" t="s">
        <v>33</v>
      </c>
      <c r="N7" s="9" t="s">
        <v>27</v>
      </c>
      <c r="O7" s="2">
        <f t="shared" si="0"/>
        <v>11</v>
      </c>
      <c r="P7" s="12">
        <f t="shared" si="1"/>
        <v>0.84615384615384615</v>
      </c>
      <c r="Q7" s="2" t="s">
        <v>34</v>
      </c>
      <c r="R7" t="s">
        <v>200</v>
      </c>
      <c r="S7" t="s">
        <v>135</v>
      </c>
      <c r="T7" t="s">
        <v>173</v>
      </c>
      <c r="U7" t="s">
        <v>145</v>
      </c>
    </row>
    <row r="8" spans="1:21" ht="14.7" customHeight="1">
      <c r="A8" t="s">
        <v>203</v>
      </c>
      <c r="B8" s="9" t="s">
        <v>27</v>
      </c>
      <c r="C8" s="5" t="s">
        <v>33</v>
      </c>
      <c r="D8" s="9" t="s">
        <v>27</v>
      </c>
      <c r="E8" s="5" t="s">
        <v>33</v>
      </c>
      <c r="F8" s="5" t="s">
        <v>33</v>
      </c>
      <c r="G8" s="9" t="s">
        <v>27</v>
      </c>
      <c r="H8" s="5" t="s">
        <v>33</v>
      </c>
      <c r="I8" s="5" t="s">
        <v>33</v>
      </c>
      <c r="J8" s="9" t="s">
        <v>27</v>
      </c>
      <c r="K8" s="9" t="s">
        <v>27</v>
      </c>
      <c r="L8" s="9" t="s">
        <v>27</v>
      </c>
      <c r="M8" s="5" t="s">
        <v>33</v>
      </c>
      <c r="N8" s="9" t="s">
        <v>27</v>
      </c>
      <c r="O8" s="2">
        <f t="shared" si="0"/>
        <v>7</v>
      </c>
      <c r="P8" s="12">
        <f t="shared" si="1"/>
        <v>0.53846153846153844</v>
      </c>
      <c r="Q8" s="2" t="s">
        <v>34</v>
      </c>
      <c r="R8" t="s">
        <v>103</v>
      </c>
      <c r="S8" t="s">
        <v>690</v>
      </c>
      <c r="T8" t="s">
        <v>204</v>
      </c>
      <c r="U8" t="s">
        <v>158</v>
      </c>
    </row>
    <row r="9" spans="1:21" ht="14.7" customHeight="1">
      <c r="A9" t="s">
        <v>205</v>
      </c>
      <c r="B9" s="9" t="s">
        <v>27</v>
      </c>
      <c r="C9" s="5" t="s">
        <v>33</v>
      </c>
      <c r="D9" s="9" t="s">
        <v>27</v>
      </c>
      <c r="E9" s="5" t="s">
        <v>33</v>
      </c>
      <c r="F9" s="5" t="s">
        <v>33</v>
      </c>
      <c r="G9" s="9" t="s">
        <v>27</v>
      </c>
      <c r="H9" s="5" t="s">
        <v>33</v>
      </c>
      <c r="I9" s="5" t="s">
        <v>33</v>
      </c>
      <c r="J9" s="9" t="s">
        <v>27</v>
      </c>
      <c r="K9" s="9" t="s">
        <v>27</v>
      </c>
      <c r="L9" s="5" t="s">
        <v>33</v>
      </c>
      <c r="M9" s="5" t="s">
        <v>33</v>
      </c>
      <c r="N9" s="5" t="s">
        <v>33</v>
      </c>
      <c r="O9" s="2">
        <f t="shared" si="0"/>
        <v>5</v>
      </c>
      <c r="P9" s="12">
        <f t="shared" si="1"/>
        <v>0.38461538461538464</v>
      </c>
      <c r="Q9" s="2" t="s">
        <v>34</v>
      </c>
      <c r="R9" t="s">
        <v>200</v>
      </c>
      <c r="S9" t="s">
        <v>206</v>
      </c>
      <c r="T9" t="s">
        <v>31</v>
      </c>
      <c r="U9" t="s">
        <v>31</v>
      </c>
    </row>
    <row r="10" spans="1:21" ht="14.7" customHeight="1">
      <c r="A10" t="s">
        <v>207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5" t="s">
        <v>33</v>
      </c>
      <c r="H10" s="9" t="s">
        <v>27</v>
      </c>
      <c r="I10" s="5" t="s">
        <v>33</v>
      </c>
      <c r="J10" s="9" t="s">
        <v>27</v>
      </c>
      <c r="K10" s="9" t="s">
        <v>27</v>
      </c>
      <c r="L10" s="9" t="s">
        <v>27</v>
      </c>
      <c r="M10" s="5" t="s">
        <v>33</v>
      </c>
      <c r="N10" s="9" t="s">
        <v>27</v>
      </c>
      <c r="O10" s="2">
        <f t="shared" si="0"/>
        <v>10</v>
      </c>
      <c r="P10" s="12">
        <f t="shared" si="1"/>
        <v>0.76923076923076927</v>
      </c>
      <c r="Q10" s="2" t="s">
        <v>34</v>
      </c>
      <c r="R10" t="s">
        <v>29</v>
      </c>
      <c r="S10" t="s">
        <v>66</v>
      </c>
      <c r="T10" t="s">
        <v>67</v>
      </c>
      <c r="U10" t="s">
        <v>68</v>
      </c>
    </row>
    <row r="11" spans="1:21" ht="14.7" customHeight="1">
      <c r="B11" s="9"/>
      <c r="C11" s="9"/>
      <c r="D11" s="9"/>
      <c r="E11" s="9"/>
      <c r="F11" s="9"/>
      <c r="G11" s="5"/>
      <c r="H11" s="9"/>
      <c r="I11" s="5"/>
      <c r="J11" s="9"/>
      <c r="K11" s="9"/>
      <c r="L11" s="9"/>
      <c r="M11" s="5"/>
      <c r="N11" s="9"/>
      <c r="O11" s="2"/>
      <c r="P11" s="12"/>
      <c r="Q11" s="2" t="s">
        <v>34</v>
      </c>
      <c r="R11" t="s">
        <v>29</v>
      </c>
      <c r="S11" t="s">
        <v>66</v>
      </c>
      <c r="T11" t="s">
        <v>69</v>
      </c>
      <c r="U11" t="s">
        <v>68</v>
      </c>
    </row>
    <row r="12" spans="1:21" s="73" customFormat="1" ht="14.7" customHeight="1">
      <c r="A12" s="16" t="s">
        <v>208</v>
      </c>
      <c r="B12" s="17"/>
      <c r="C12" s="17"/>
      <c r="D12" s="17"/>
      <c r="E12" s="17"/>
      <c r="F12" s="17"/>
      <c r="G12" s="42"/>
      <c r="H12" s="17"/>
      <c r="I12" s="17"/>
      <c r="J12" s="17"/>
      <c r="K12" s="17"/>
      <c r="L12" s="17"/>
      <c r="M12" s="40"/>
      <c r="N12" s="17"/>
      <c r="O12" s="35"/>
      <c r="P12" s="41"/>
      <c r="Q12" s="35"/>
      <c r="R12" s="34"/>
      <c r="S12" s="34"/>
      <c r="T12" s="34"/>
      <c r="U12" s="34"/>
    </row>
    <row r="13" spans="1:21" ht="14.7" customHeight="1">
      <c r="A13" t="s">
        <v>209</v>
      </c>
      <c r="B13" s="10" t="s">
        <v>27</v>
      </c>
      <c r="C13" s="5" t="s">
        <v>33</v>
      </c>
      <c r="D13" s="9" t="s">
        <v>27</v>
      </c>
      <c r="E13" s="5" t="s">
        <v>33</v>
      </c>
      <c r="F13" s="5" t="s">
        <v>33</v>
      </c>
      <c r="G13" s="9" t="s">
        <v>27</v>
      </c>
      <c r="H13" s="5" t="s">
        <v>33</v>
      </c>
      <c r="I13" s="9" t="s">
        <v>27</v>
      </c>
      <c r="J13" s="9" t="s">
        <v>27</v>
      </c>
      <c r="K13" s="5" t="s">
        <v>33</v>
      </c>
      <c r="L13" s="5" t="s">
        <v>33</v>
      </c>
      <c r="M13" s="5" t="s">
        <v>33</v>
      </c>
      <c r="N13" s="5" t="s">
        <v>33</v>
      </c>
      <c r="O13" s="2">
        <f>COUNTIF(B13:N13,"✔")</f>
        <v>5</v>
      </c>
      <c r="P13" s="12">
        <f>O13/13</f>
        <v>0.38461538461538464</v>
      </c>
      <c r="Q13" s="2" t="s">
        <v>34</v>
      </c>
      <c r="R13" t="s">
        <v>200</v>
      </c>
      <c r="S13" t="s">
        <v>170</v>
      </c>
      <c r="T13" t="s">
        <v>124</v>
      </c>
      <c r="U13" t="s">
        <v>171</v>
      </c>
    </row>
    <row r="14" spans="1:21" ht="14.7" customHeight="1">
      <c r="B14" s="10"/>
      <c r="C14" s="5"/>
      <c r="D14" s="9"/>
      <c r="E14" s="5"/>
      <c r="F14" s="5"/>
      <c r="G14" s="9"/>
      <c r="H14" s="5"/>
      <c r="I14" s="9"/>
      <c r="J14" s="9"/>
      <c r="K14" s="5"/>
      <c r="L14" s="5"/>
      <c r="M14" s="5"/>
      <c r="N14" s="5"/>
      <c r="O14" s="2"/>
      <c r="P14" s="12"/>
      <c r="Q14" s="2" t="s">
        <v>34</v>
      </c>
      <c r="R14" t="s">
        <v>200</v>
      </c>
      <c r="S14" t="s">
        <v>210</v>
      </c>
      <c r="T14" t="s">
        <v>124</v>
      </c>
      <c r="U14" t="s">
        <v>698</v>
      </c>
    </row>
    <row r="15" spans="1:21" ht="14.7" customHeight="1">
      <c r="B15" s="10"/>
      <c r="C15" s="5"/>
      <c r="D15" s="9"/>
      <c r="E15" s="5"/>
      <c r="F15" s="5"/>
      <c r="G15" s="9"/>
      <c r="H15" s="5"/>
      <c r="I15" s="9"/>
      <c r="J15" s="9"/>
      <c r="K15" s="5"/>
      <c r="L15" s="5"/>
      <c r="M15" s="5"/>
      <c r="N15" s="5"/>
      <c r="O15" s="2"/>
      <c r="P15" s="12"/>
      <c r="Q15" s="2" t="s">
        <v>34</v>
      </c>
      <c r="R15" t="s">
        <v>200</v>
      </c>
      <c r="S15" t="s">
        <v>211</v>
      </c>
      <c r="T15" t="s">
        <v>124</v>
      </c>
      <c r="U15" t="s">
        <v>699</v>
      </c>
    </row>
    <row r="16" spans="1:21" ht="14.7" customHeight="1">
      <c r="A16" t="s">
        <v>212</v>
      </c>
      <c r="B16" s="9" t="s">
        <v>27</v>
      </c>
      <c r="C16" s="9" t="s">
        <v>27</v>
      </c>
      <c r="D16" s="5" t="s">
        <v>33</v>
      </c>
      <c r="E16" s="5" t="s">
        <v>33</v>
      </c>
      <c r="F16" s="5" t="s">
        <v>33</v>
      </c>
      <c r="G16" s="9" t="s">
        <v>27</v>
      </c>
      <c r="H16" s="5" t="s">
        <v>33</v>
      </c>
      <c r="I16" s="5" t="s">
        <v>33</v>
      </c>
      <c r="J16" s="9" t="s">
        <v>27</v>
      </c>
      <c r="K16" s="9" t="s">
        <v>27</v>
      </c>
      <c r="L16" s="5" t="s">
        <v>33</v>
      </c>
      <c r="M16" s="5" t="s">
        <v>33</v>
      </c>
      <c r="N16" s="5" t="s">
        <v>33</v>
      </c>
      <c r="O16" s="2">
        <f>COUNTIF(B16:N16,"✔")</f>
        <v>5</v>
      </c>
      <c r="P16" s="12">
        <f>O16/13</f>
        <v>0.38461538461538464</v>
      </c>
      <c r="Q16" s="2" t="s">
        <v>34</v>
      </c>
      <c r="R16" t="s">
        <v>200</v>
      </c>
      <c r="S16" t="s">
        <v>206</v>
      </c>
      <c r="T16" t="s">
        <v>213</v>
      </c>
      <c r="U16" t="s">
        <v>214</v>
      </c>
    </row>
    <row r="17" spans="1:21" ht="14.7" customHeight="1">
      <c r="A17" t="s">
        <v>215</v>
      </c>
      <c r="B17" s="9" t="s">
        <v>27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9" t="s">
        <v>27</v>
      </c>
      <c r="K17" s="5" t="s">
        <v>33</v>
      </c>
      <c r="L17" s="5" t="s">
        <v>33</v>
      </c>
      <c r="M17" s="5" t="s">
        <v>33</v>
      </c>
      <c r="N17" s="5" t="s">
        <v>33</v>
      </c>
      <c r="O17" s="2">
        <f t="shared" ref="O17:O26" si="2">COUNTIF(B17:N17,"✔")</f>
        <v>2</v>
      </c>
      <c r="P17" s="12">
        <f t="shared" ref="P17:P25" si="3">O17/13</f>
        <v>0.15384615384615385</v>
      </c>
      <c r="Q17" s="2" t="s">
        <v>34</v>
      </c>
      <c r="R17" t="s">
        <v>200</v>
      </c>
      <c r="S17" t="s">
        <v>170</v>
      </c>
      <c r="T17" t="s">
        <v>216</v>
      </c>
      <c r="U17" t="s">
        <v>145</v>
      </c>
    </row>
    <row r="18" spans="1:21" ht="14.7" customHeight="1">
      <c r="A18" t="s">
        <v>217</v>
      </c>
      <c r="B18" s="9" t="s">
        <v>27</v>
      </c>
      <c r="C18" s="5" t="s">
        <v>33</v>
      </c>
      <c r="D18" s="9" t="s">
        <v>27</v>
      </c>
      <c r="E18" s="5" t="s">
        <v>33</v>
      </c>
      <c r="F18" s="5" t="s">
        <v>33</v>
      </c>
      <c r="G18" s="9" t="s">
        <v>27</v>
      </c>
      <c r="H18" s="5" t="s">
        <v>33</v>
      </c>
      <c r="I18" s="9" t="s">
        <v>27</v>
      </c>
      <c r="J18" s="5" t="s">
        <v>33</v>
      </c>
      <c r="K18" s="5" t="s">
        <v>33</v>
      </c>
      <c r="L18" s="5" t="s">
        <v>33</v>
      </c>
      <c r="M18" s="5" t="s">
        <v>33</v>
      </c>
      <c r="N18" s="5" t="s">
        <v>33</v>
      </c>
      <c r="O18" s="2">
        <f t="shared" si="2"/>
        <v>4</v>
      </c>
      <c r="P18" s="12">
        <f t="shared" si="3"/>
        <v>0.30769230769230771</v>
      </c>
      <c r="Q18" s="2" t="s">
        <v>34</v>
      </c>
      <c r="R18" t="s">
        <v>200</v>
      </c>
      <c r="S18" t="s">
        <v>170</v>
      </c>
      <c r="T18" t="s">
        <v>218</v>
      </c>
      <c r="U18" t="s">
        <v>145</v>
      </c>
    </row>
    <row r="19" spans="1:21" ht="14.7" customHeight="1">
      <c r="B19" s="9"/>
      <c r="C19" s="5"/>
      <c r="D19" s="9"/>
      <c r="E19" s="5"/>
      <c r="F19" s="5"/>
      <c r="G19" s="9"/>
      <c r="H19" s="5"/>
      <c r="I19" s="9"/>
      <c r="J19" s="5"/>
      <c r="K19" s="5"/>
      <c r="L19" s="5"/>
      <c r="M19" s="5"/>
      <c r="N19" s="5"/>
      <c r="O19" s="2"/>
      <c r="P19" s="12"/>
      <c r="Q19" s="2" t="s">
        <v>28</v>
      </c>
      <c r="R19" s="21" t="s">
        <v>37</v>
      </c>
      <c r="S19" t="s">
        <v>690</v>
      </c>
      <c r="T19" t="s">
        <v>187</v>
      </c>
      <c r="U19" t="s">
        <v>188</v>
      </c>
    </row>
    <row r="20" spans="1:21" ht="14.7" customHeight="1">
      <c r="B20" s="9"/>
      <c r="C20" s="5"/>
      <c r="D20" s="9"/>
      <c r="E20" s="5"/>
      <c r="F20" s="5"/>
      <c r="G20" s="9"/>
      <c r="H20" s="5"/>
      <c r="I20" s="9"/>
      <c r="J20" s="5"/>
      <c r="K20" s="5"/>
      <c r="L20" s="5"/>
      <c r="M20" s="5"/>
      <c r="N20" s="5"/>
      <c r="O20" s="2"/>
      <c r="P20" s="12"/>
      <c r="Q20" s="2" t="s">
        <v>34</v>
      </c>
      <c r="R20" t="s">
        <v>200</v>
      </c>
      <c r="S20" t="s">
        <v>206</v>
      </c>
      <c r="T20" t="s">
        <v>213</v>
      </c>
      <c r="U20" t="s">
        <v>214</v>
      </c>
    </row>
    <row r="21" spans="1:21" ht="14.7" customHeight="1">
      <c r="A21" t="s">
        <v>219</v>
      </c>
      <c r="B21" s="9" t="s">
        <v>27</v>
      </c>
      <c r="C21" s="5" t="s">
        <v>33</v>
      </c>
      <c r="D21" s="9" t="s">
        <v>27</v>
      </c>
      <c r="E21" s="5" t="s">
        <v>33</v>
      </c>
      <c r="F21" s="5" t="s">
        <v>33</v>
      </c>
      <c r="G21" s="9" t="s">
        <v>27</v>
      </c>
      <c r="H21" s="5" t="s">
        <v>33</v>
      </c>
      <c r="I21" s="9" t="s">
        <v>27</v>
      </c>
      <c r="J21" s="5" t="s">
        <v>33</v>
      </c>
      <c r="K21" s="5" t="s">
        <v>33</v>
      </c>
      <c r="L21" s="5" t="s">
        <v>33</v>
      </c>
      <c r="M21" s="5" t="s">
        <v>33</v>
      </c>
      <c r="N21" s="5" t="s">
        <v>33</v>
      </c>
      <c r="O21" s="2">
        <f t="shared" si="2"/>
        <v>4</v>
      </c>
      <c r="P21" s="12">
        <f t="shared" si="3"/>
        <v>0.30769230769230771</v>
      </c>
      <c r="Q21" s="2" t="s">
        <v>28</v>
      </c>
      <c r="R21" s="21" t="s">
        <v>37</v>
      </c>
      <c r="S21" t="s">
        <v>690</v>
      </c>
      <c r="T21" t="s">
        <v>187</v>
      </c>
      <c r="U21" t="s">
        <v>188</v>
      </c>
    </row>
    <row r="22" spans="1:21" ht="14.7" customHeight="1">
      <c r="B22" s="9"/>
      <c r="C22" s="5"/>
      <c r="D22" s="9"/>
      <c r="E22" s="5"/>
      <c r="F22" s="5"/>
      <c r="G22" s="9"/>
      <c r="H22" s="5"/>
      <c r="I22" s="9"/>
      <c r="J22" s="5"/>
      <c r="K22" s="5"/>
      <c r="L22" s="5"/>
      <c r="M22" s="5"/>
      <c r="N22" s="5"/>
      <c r="O22" s="2"/>
      <c r="P22" s="12"/>
      <c r="Q22" s="2" t="s">
        <v>34</v>
      </c>
      <c r="R22" t="s">
        <v>200</v>
      </c>
      <c r="S22" t="s">
        <v>206</v>
      </c>
      <c r="T22" t="s">
        <v>213</v>
      </c>
      <c r="U22" t="s">
        <v>214</v>
      </c>
    </row>
    <row r="23" spans="1:21" ht="14.7" customHeight="1">
      <c r="A23" t="s">
        <v>220</v>
      </c>
      <c r="B23" s="9" t="s">
        <v>27</v>
      </c>
      <c r="C23" s="5" t="s">
        <v>33</v>
      </c>
      <c r="D23" s="5" t="s">
        <v>33</v>
      </c>
      <c r="E23" s="5" t="s">
        <v>33</v>
      </c>
      <c r="F23" s="5" t="s">
        <v>33</v>
      </c>
      <c r="G23" s="9" t="s">
        <v>27</v>
      </c>
      <c r="H23" s="5" t="s">
        <v>33</v>
      </c>
      <c r="I23" s="5" t="s">
        <v>33</v>
      </c>
      <c r="J23" s="5" t="s">
        <v>33</v>
      </c>
      <c r="K23" s="5" t="s">
        <v>33</v>
      </c>
      <c r="L23" s="5" t="s">
        <v>33</v>
      </c>
      <c r="M23" s="5" t="s">
        <v>33</v>
      </c>
      <c r="N23" s="5" t="s">
        <v>33</v>
      </c>
      <c r="O23" s="2">
        <f t="shared" si="2"/>
        <v>2</v>
      </c>
      <c r="P23" s="12">
        <f t="shared" si="3"/>
        <v>0.15384615384615385</v>
      </c>
      <c r="Q23" s="2" t="s">
        <v>34</v>
      </c>
      <c r="R23" t="s">
        <v>200</v>
      </c>
      <c r="S23" t="s">
        <v>170</v>
      </c>
      <c r="T23" t="s">
        <v>221</v>
      </c>
      <c r="U23" t="s">
        <v>145</v>
      </c>
    </row>
    <row r="24" spans="1:21" ht="14.7" customHeight="1">
      <c r="A24" t="s">
        <v>222</v>
      </c>
      <c r="B24" s="9" t="s">
        <v>27</v>
      </c>
      <c r="C24" s="5" t="s">
        <v>33</v>
      </c>
      <c r="D24" s="5" t="s">
        <v>33</v>
      </c>
      <c r="E24" s="5" t="s">
        <v>33</v>
      </c>
      <c r="F24" s="5" t="s">
        <v>33</v>
      </c>
      <c r="G24" s="5" t="s">
        <v>33</v>
      </c>
      <c r="H24" s="5" t="s">
        <v>33</v>
      </c>
      <c r="I24" s="5" t="s">
        <v>33</v>
      </c>
      <c r="J24" s="5" t="s">
        <v>33</v>
      </c>
      <c r="K24" s="5" t="s">
        <v>33</v>
      </c>
      <c r="L24" s="5" t="s">
        <v>33</v>
      </c>
      <c r="M24" s="5" t="s">
        <v>33</v>
      </c>
      <c r="N24" s="5" t="s">
        <v>33</v>
      </c>
      <c r="O24" s="2">
        <f t="shared" si="2"/>
        <v>1</v>
      </c>
      <c r="P24" s="12">
        <f t="shared" si="3"/>
        <v>7.6923076923076927E-2</v>
      </c>
      <c r="Q24" s="2"/>
      <c r="R24" s="2" t="s">
        <v>33</v>
      </c>
    </row>
    <row r="25" spans="1:21" ht="14.7" customHeight="1">
      <c r="A25" t="s">
        <v>223</v>
      </c>
      <c r="B25" s="9" t="s">
        <v>27</v>
      </c>
      <c r="C25" s="5" t="s">
        <v>33</v>
      </c>
      <c r="D25" s="5" t="s">
        <v>33</v>
      </c>
      <c r="E25" s="5" t="s">
        <v>33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5" t="s">
        <v>33</v>
      </c>
      <c r="L25" s="5" t="s">
        <v>33</v>
      </c>
      <c r="M25" s="5" t="s">
        <v>33</v>
      </c>
      <c r="N25" s="5" t="s">
        <v>33</v>
      </c>
      <c r="O25" s="2">
        <f t="shared" si="2"/>
        <v>1</v>
      </c>
      <c r="P25" s="12">
        <f t="shared" si="3"/>
        <v>7.6923076923076927E-2</v>
      </c>
      <c r="Q25" s="2"/>
      <c r="R25" s="2" t="s">
        <v>33</v>
      </c>
    </row>
    <row r="26" spans="1:21" ht="14.7" customHeight="1">
      <c r="A26" t="s">
        <v>224</v>
      </c>
      <c r="B26" s="9" t="s">
        <v>27</v>
      </c>
      <c r="C26" s="5" t="s">
        <v>33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5" t="s">
        <v>33</v>
      </c>
      <c r="L26" s="5" t="s">
        <v>33</v>
      </c>
      <c r="M26" s="5" t="s">
        <v>33</v>
      </c>
      <c r="N26" s="5" t="s">
        <v>33</v>
      </c>
      <c r="O26" s="2">
        <f t="shared" si="2"/>
        <v>1</v>
      </c>
      <c r="P26" s="12">
        <f>COUNTIF(B26:N26,"✔")/COUNTA(B26:N26)</f>
        <v>7.6923076923076927E-2</v>
      </c>
      <c r="Q26" s="2" t="s">
        <v>34</v>
      </c>
      <c r="R26" t="s">
        <v>200</v>
      </c>
      <c r="S26" t="s">
        <v>170</v>
      </c>
      <c r="T26" t="s">
        <v>225</v>
      </c>
      <c r="U26" t="s">
        <v>145</v>
      </c>
    </row>
    <row r="27" spans="1:21" s="73" customFormat="1" ht="14.7" customHeight="1">
      <c r="A27" s="16" t="s">
        <v>226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40"/>
      <c r="N27" s="17"/>
      <c r="O27" s="35"/>
      <c r="P27" s="41"/>
      <c r="Q27" s="35"/>
      <c r="R27" s="34"/>
      <c r="S27" s="34"/>
      <c r="T27" s="34"/>
      <c r="U27" s="34"/>
    </row>
    <row r="28" spans="1:21" ht="14.7" customHeight="1">
      <c r="A28" t="s">
        <v>227</v>
      </c>
      <c r="B28" s="5" t="s">
        <v>33</v>
      </c>
      <c r="C28" s="9" t="s">
        <v>27</v>
      </c>
      <c r="D28" s="5" t="s">
        <v>33</v>
      </c>
      <c r="E28" s="9" t="s">
        <v>27</v>
      </c>
      <c r="F28" s="9" t="s">
        <v>27</v>
      </c>
      <c r="G28" s="5" t="s">
        <v>33</v>
      </c>
      <c r="H28" s="5" t="s">
        <v>33</v>
      </c>
      <c r="I28" s="5" t="s">
        <v>33</v>
      </c>
      <c r="J28" s="5" t="s">
        <v>33</v>
      </c>
      <c r="K28" s="9" t="s">
        <v>27</v>
      </c>
      <c r="L28" s="9" t="s">
        <v>27</v>
      </c>
      <c r="M28" s="5" t="s">
        <v>33</v>
      </c>
      <c r="N28" s="9" t="s">
        <v>27</v>
      </c>
      <c r="O28" s="2">
        <f t="shared" ref="O28:O42" si="4">COUNTIF(B28:N28,"✔")</f>
        <v>6</v>
      </c>
      <c r="P28" s="12">
        <f>O28/13</f>
        <v>0.46153846153846156</v>
      </c>
      <c r="Q28" s="2"/>
      <c r="R28" s="2" t="s">
        <v>152</v>
      </c>
    </row>
    <row r="29" spans="1:21" ht="14.7" customHeight="1">
      <c r="A29" t="s">
        <v>228</v>
      </c>
      <c r="B29" s="9" t="s">
        <v>27</v>
      </c>
      <c r="C29" s="5" t="s">
        <v>33</v>
      </c>
      <c r="D29" s="9" t="s">
        <v>27</v>
      </c>
      <c r="E29" s="5" t="s">
        <v>33</v>
      </c>
      <c r="F29" s="5" t="s">
        <v>33</v>
      </c>
      <c r="G29" s="9" t="s">
        <v>27</v>
      </c>
      <c r="H29" s="9" t="s">
        <v>27</v>
      </c>
      <c r="I29" s="9" t="s">
        <v>27</v>
      </c>
      <c r="J29" s="9" t="s">
        <v>27</v>
      </c>
      <c r="K29" s="5" t="s">
        <v>33</v>
      </c>
      <c r="L29" s="5" t="s">
        <v>33</v>
      </c>
      <c r="M29" s="9" t="s">
        <v>27</v>
      </c>
      <c r="N29" s="5" t="s">
        <v>33</v>
      </c>
      <c r="O29" s="2">
        <f t="shared" si="4"/>
        <v>7</v>
      </c>
      <c r="P29" s="12">
        <f t="shared" ref="P29:P42" si="5">O29/13</f>
        <v>0.53846153846153844</v>
      </c>
      <c r="Q29" s="2" t="s">
        <v>34</v>
      </c>
      <c r="R29" t="s">
        <v>200</v>
      </c>
      <c r="S29" t="s">
        <v>170</v>
      </c>
      <c r="T29" t="s">
        <v>124</v>
      </c>
      <c r="U29" t="s">
        <v>171</v>
      </c>
    </row>
    <row r="30" spans="1:21" ht="14.7" customHeight="1">
      <c r="A30" t="s">
        <v>229</v>
      </c>
      <c r="B30" s="9" t="s">
        <v>27</v>
      </c>
      <c r="C30" s="5" t="s">
        <v>33</v>
      </c>
      <c r="D30" s="9" t="s">
        <v>27</v>
      </c>
      <c r="E30" s="5" t="s">
        <v>33</v>
      </c>
      <c r="F30" s="5" t="s">
        <v>33</v>
      </c>
      <c r="G30" s="9" t="s">
        <v>27</v>
      </c>
      <c r="H30" s="5" t="s">
        <v>33</v>
      </c>
      <c r="I30" s="9" t="s">
        <v>27</v>
      </c>
      <c r="J30" s="5" t="s">
        <v>33</v>
      </c>
      <c r="K30" s="5" t="s">
        <v>33</v>
      </c>
      <c r="L30" s="5" t="s">
        <v>33</v>
      </c>
      <c r="M30" s="5" t="s">
        <v>33</v>
      </c>
      <c r="N30" s="5" t="s">
        <v>33</v>
      </c>
      <c r="O30" s="2">
        <f>COUNTIF(B30:N30,"✔")</f>
        <v>4</v>
      </c>
      <c r="P30" s="12">
        <f t="shared" si="5"/>
        <v>0.30769230769230771</v>
      </c>
      <c r="Q30" s="2" t="s">
        <v>34</v>
      </c>
      <c r="R30" s="2" t="s">
        <v>29</v>
      </c>
      <c r="S30" s="2" t="s">
        <v>295</v>
      </c>
      <c r="T30" s="2" t="s">
        <v>298</v>
      </c>
      <c r="U30" s="2" t="s">
        <v>52</v>
      </c>
    </row>
    <row r="31" spans="1:21" ht="14.7" customHeight="1">
      <c r="A31" s="11" t="s">
        <v>230</v>
      </c>
      <c r="B31" s="9" t="s">
        <v>27</v>
      </c>
      <c r="C31" s="5" t="s">
        <v>33</v>
      </c>
      <c r="D31" s="9" t="s">
        <v>27</v>
      </c>
      <c r="E31" s="5" t="s">
        <v>33</v>
      </c>
      <c r="F31" s="5" t="s">
        <v>33</v>
      </c>
      <c r="G31" s="9" t="s">
        <v>27</v>
      </c>
      <c r="H31" s="5" t="s">
        <v>33</v>
      </c>
      <c r="I31" s="9" t="s">
        <v>27</v>
      </c>
      <c r="J31" s="5" t="s">
        <v>33</v>
      </c>
      <c r="K31" s="5" t="s">
        <v>33</v>
      </c>
      <c r="L31" s="5" t="s">
        <v>33</v>
      </c>
      <c r="M31" s="5" t="s">
        <v>33</v>
      </c>
      <c r="N31" s="5" t="s">
        <v>33</v>
      </c>
      <c r="O31" s="2">
        <f>COUNTIF(B31:N31,"✔")</f>
        <v>4</v>
      </c>
      <c r="P31" s="12">
        <f t="shared" si="5"/>
        <v>0.30769230769230771</v>
      </c>
      <c r="Q31" s="2" t="s">
        <v>28</v>
      </c>
      <c r="R31" t="s">
        <v>29</v>
      </c>
      <c r="S31" t="s">
        <v>707</v>
      </c>
      <c r="T31" t="s">
        <v>232</v>
      </c>
      <c r="U31" t="s">
        <v>708</v>
      </c>
    </row>
    <row r="32" spans="1:21" ht="14.7" customHeight="1">
      <c r="A32" t="s">
        <v>233</v>
      </c>
      <c r="B32" s="9" t="s">
        <v>27</v>
      </c>
      <c r="C32" s="5" t="s">
        <v>33</v>
      </c>
      <c r="D32" s="5" t="s">
        <v>33</v>
      </c>
      <c r="E32" s="5" t="s">
        <v>33</v>
      </c>
      <c r="F32" s="5" t="s">
        <v>33</v>
      </c>
      <c r="G32" s="9" t="s">
        <v>27</v>
      </c>
      <c r="H32" s="5" t="s">
        <v>33</v>
      </c>
      <c r="I32" s="5" t="s">
        <v>33</v>
      </c>
      <c r="J32" s="9" t="s">
        <v>27</v>
      </c>
      <c r="K32" s="5" t="s">
        <v>33</v>
      </c>
      <c r="L32" s="5" t="s">
        <v>33</v>
      </c>
      <c r="M32" s="5" t="s">
        <v>33</v>
      </c>
      <c r="N32" s="5" t="s">
        <v>33</v>
      </c>
      <c r="O32" s="2">
        <f t="shared" si="4"/>
        <v>3</v>
      </c>
      <c r="P32" s="12">
        <f t="shared" si="5"/>
        <v>0.23076923076923078</v>
      </c>
      <c r="Q32" s="2" t="s">
        <v>34</v>
      </c>
      <c r="R32" t="s">
        <v>200</v>
      </c>
      <c r="S32" t="s">
        <v>170</v>
      </c>
      <c r="T32" t="s">
        <v>234</v>
      </c>
      <c r="U32" t="s">
        <v>145</v>
      </c>
    </row>
    <row r="33" spans="1:21" ht="14.7" customHeight="1">
      <c r="A33" t="s">
        <v>235</v>
      </c>
      <c r="B33" s="9" t="s">
        <v>27</v>
      </c>
      <c r="C33" s="5" t="s">
        <v>33</v>
      </c>
      <c r="D33" s="5" t="s">
        <v>33</v>
      </c>
      <c r="E33" s="5" t="s">
        <v>33</v>
      </c>
      <c r="F33" s="5" t="s">
        <v>33</v>
      </c>
      <c r="G33" s="9" t="s">
        <v>27</v>
      </c>
      <c r="H33" s="5" t="s">
        <v>33</v>
      </c>
      <c r="I33" s="9" t="s">
        <v>27</v>
      </c>
      <c r="J33" s="5" t="s">
        <v>33</v>
      </c>
      <c r="K33" s="5" t="s">
        <v>33</v>
      </c>
      <c r="L33" s="5" t="s">
        <v>33</v>
      </c>
      <c r="M33" s="5" t="s">
        <v>33</v>
      </c>
      <c r="N33" s="5" t="s">
        <v>33</v>
      </c>
      <c r="O33" s="2">
        <f>COUNTIF(B33:N33,"✔")</f>
        <v>3</v>
      </c>
      <c r="P33" s="12">
        <f t="shared" si="5"/>
        <v>0.23076923076923078</v>
      </c>
      <c r="Q33" s="2"/>
      <c r="R33" s="2" t="s">
        <v>33</v>
      </c>
    </row>
    <row r="34" spans="1:21" ht="14.7" customHeight="1">
      <c r="A34" t="s">
        <v>236</v>
      </c>
      <c r="B34" s="9" t="s">
        <v>27</v>
      </c>
      <c r="C34" s="5" t="s">
        <v>33</v>
      </c>
      <c r="D34" s="5" t="s">
        <v>33</v>
      </c>
      <c r="E34" s="5" t="s">
        <v>33</v>
      </c>
      <c r="F34" s="5" t="s">
        <v>33</v>
      </c>
      <c r="G34" s="9" t="s">
        <v>27</v>
      </c>
      <c r="H34" s="5" t="s">
        <v>33</v>
      </c>
      <c r="I34" s="9" t="s">
        <v>27</v>
      </c>
      <c r="J34" s="5" t="s">
        <v>33</v>
      </c>
      <c r="K34" s="5" t="s">
        <v>33</v>
      </c>
      <c r="L34" s="5" t="s">
        <v>33</v>
      </c>
      <c r="M34" s="5" t="s">
        <v>33</v>
      </c>
      <c r="N34" s="5" t="s">
        <v>33</v>
      </c>
      <c r="O34" s="2">
        <f>COUNTIF(B34:N34,"✔")</f>
        <v>3</v>
      </c>
      <c r="P34" s="12">
        <f t="shared" si="5"/>
        <v>0.23076923076923078</v>
      </c>
      <c r="Q34" s="2" t="s">
        <v>34</v>
      </c>
      <c r="R34" s="2" t="s">
        <v>265</v>
      </c>
      <c r="S34" s="2" t="s">
        <v>709</v>
      </c>
      <c r="T34" s="2" t="s">
        <v>124</v>
      </c>
      <c r="U34" s="2" t="s">
        <v>710</v>
      </c>
    </row>
    <row r="35" spans="1:21" ht="14.7" customHeight="1">
      <c r="A35" t="s">
        <v>237</v>
      </c>
      <c r="B35" s="9" t="s">
        <v>27</v>
      </c>
      <c r="C35" s="5" t="s">
        <v>33</v>
      </c>
      <c r="D35" s="5" t="s">
        <v>33</v>
      </c>
      <c r="E35" s="5" t="s">
        <v>33</v>
      </c>
      <c r="F35" s="5" t="s">
        <v>33</v>
      </c>
      <c r="G35" s="9" t="s">
        <v>27</v>
      </c>
      <c r="H35" s="5" t="s">
        <v>33</v>
      </c>
      <c r="I35" s="9" t="s">
        <v>27</v>
      </c>
      <c r="J35" s="5" t="s">
        <v>33</v>
      </c>
      <c r="K35" s="5" t="s">
        <v>33</v>
      </c>
      <c r="L35" s="5" t="s">
        <v>33</v>
      </c>
      <c r="M35" s="5" t="s">
        <v>33</v>
      </c>
      <c r="N35" s="5" t="s">
        <v>33</v>
      </c>
      <c r="O35" s="2">
        <f>COUNTIF(B35:N35,"✔")</f>
        <v>3</v>
      </c>
      <c r="P35" s="12">
        <f t="shared" si="5"/>
        <v>0.23076923076923078</v>
      </c>
      <c r="Q35" s="2"/>
      <c r="R35" s="2" t="s">
        <v>33</v>
      </c>
    </row>
    <row r="36" spans="1:21" ht="14.7" customHeight="1">
      <c r="A36" t="s">
        <v>238</v>
      </c>
      <c r="B36" s="9" t="s">
        <v>27</v>
      </c>
      <c r="C36" s="5" t="s">
        <v>33</v>
      </c>
      <c r="D36" s="5" t="s">
        <v>33</v>
      </c>
      <c r="E36" s="5" t="s">
        <v>33</v>
      </c>
      <c r="F36" s="5" t="s">
        <v>33</v>
      </c>
      <c r="G36" s="9" t="s">
        <v>27</v>
      </c>
      <c r="H36" s="5" t="s">
        <v>33</v>
      </c>
      <c r="I36" s="9" t="s">
        <v>27</v>
      </c>
      <c r="J36" s="5" t="s">
        <v>33</v>
      </c>
      <c r="K36" s="5" t="s">
        <v>33</v>
      </c>
      <c r="L36" s="5" t="s">
        <v>33</v>
      </c>
      <c r="M36" s="5" t="s">
        <v>33</v>
      </c>
      <c r="N36" s="5" t="s">
        <v>33</v>
      </c>
      <c r="O36" s="2">
        <f>COUNTIF(B36:N36,"✔")</f>
        <v>3</v>
      </c>
      <c r="P36" s="12">
        <f t="shared" si="5"/>
        <v>0.23076923076923078</v>
      </c>
      <c r="Q36" s="2" t="s">
        <v>28</v>
      </c>
      <c r="R36" t="s">
        <v>29</v>
      </c>
      <c r="S36" t="s">
        <v>707</v>
      </c>
      <c r="T36" t="s">
        <v>232</v>
      </c>
      <c r="U36" t="s">
        <v>708</v>
      </c>
    </row>
    <row r="37" spans="1:21" ht="14.7" customHeight="1">
      <c r="A37" t="s">
        <v>239</v>
      </c>
      <c r="B37" s="9" t="s">
        <v>27</v>
      </c>
      <c r="C37" s="5" t="s">
        <v>33</v>
      </c>
      <c r="D37" s="5" t="s">
        <v>33</v>
      </c>
      <c r="E37" s="5" t="s">
        <v>33</v>
      </c>
      <c r="F37" s="5" t="s">
        <v>33</v>
      </c>
      <c r="G37" s="5" t="s">
        <v>33</v>
      </c>
      <c r="H37" s="5" t="s">
        <v>33</v>
      </c>
      <c r="I37" s="5" t="s">
        <v>33</v>
      </c>
      <c r="J37" s="5" t="s">
        <v>33</v>
      </c>
      <c r="K37" s="5" t="s">
        <v>33</v>
      </c>
      <c r="L37" s="5" t="s">
        <v>33</v>
      </c>
      <c r="M37" s="5" t="s">
        <v>33</v>
      </c>
      <c r="N37" s="5" t="s">
        <v>33</v>
      </c>
      <c r="O37" s="2">
        <f t="shared" si="4"/>
        <v>1</v>
      </c>
      <c r="P37" s="12">
        <f t="shared" si="5"/>
        <v>7.6923076923076927E-2</v>
      </c>
      <c r="Q37" s="2" t="s">
        <v>34</v>
      </c>
      <c r="R37" t="s">
        <v>200</v>
      </c>
      <c r="S37" t="s">
        <v>170</v>
      </c>
      <c r="T37" t="s">
        <v>218</v>
      </c>
      <c r="U37" t="s">
        <v>145</v>
      </c>
    </row>
    <row r="38" spans="1:21" ht="14.7" customHeight="1"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2"/>
      <c r="P38" s="12"/>
      <c r="Q38" s="2" t="s">
        <v>34</v>
      </c>
      <c r="R38" t="s">
        <v>200</v>
      </c>
      <c r="S38" t="s">
        <v>170</v>
      </c>
      <c r="T38" t="s">
        <v>218</v>
      </c>
      <c r="U38" t="s">
        <v>145</v>
      </c>
    </row>
    <row r="39" spans="1:21" ht="14.7" customHeight="1">
      <c r="A39" t="s">
        <v>240</v>
      </c>
      <c r="B39" s="10" t="s">
        <v>27</v>
      </c>
      <c r="C39" s="5" t="s">
        <v>33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2">
        <f t="shared" si="4"/>
        <v>1</v>
      </c>
      <c r="P39" s="12">
        <f t="shared" si="5"/>
        <v>7.6923076923076927E-2</v>
      </c>
      <c r="Q39" s="2" t="s">
        <v>34</v>
      </c>
      <c r="R39" t="s">
        <v>200</v>
      </c>
      <c r="S39" t="s">
        <v>170</v>
      </c>
      <c r="T39" t="s">
        <v>241</v>
      </c>
      <c r="U39" t="s">
        <v>145</v>
      </c>
    </row>
    <row r="40" spans="1:21" ht="14.7" customHeight="1">
      <c r="A40" t="s">
        <v>242</v>
      </c>
      <c r="B40" s="5" t="s">
        <v>33</v>
      </c>
      <c r="C40" s="5" t="s">
        <v>33</v>
      </c>
      <c r="D40" s="9" t="s">
        <v>27</v>
      </c>
      <c r="E40" s="5" t="s">
        <v>33</v>
      </c>
      <c r="F40" s="5" t="s">
        <v>33</v>
      </c>
      <c r="G40" s="5" t="s">
        <v>33</v>
      </c>
      <c r="H40" s="5" t="s">
        <v>33</v>
      </c>
      <c r="I40" s="5" t="s">
        <v>33</v>
      </c>
      <c r="J40" s="5" t="s">
        <v>33</v>
      </c>
      <c r="K40" s="5" t="s">
        <v>33</v>
      </c>
      <c r="L40" s="5" t="s">
        <v>33</v>
      </c>
      <c r="M40" s="5" t="s">
        <v>33</v>
      </c>
      <c r="N40" s="5" t="s">
        <v>33</v>
      </c>
      <c r="O40" s="2">
        <f t="shared" si="4"/>
        <v>1</v>
      </c>
      <c r="P40" s="12">
        <f t="shared" si="5"/>
        <v>7.6923076923076927E-2</v>
      </c>
      <c r="Q40" s="2" t="s">
        <v>34</v>
      </c>
      <c r="R40" s="2" t="s">
        <v>265</v>
      </c>
      <c r="S40" s="2" t="s">
        <v>709</v>
      </c>
      <c r="T40" s="2" t="s">
        <v>711</v>
      </c>
      <c r="U40" s="2" t="s">
        <v>115</v>
      </c>
    </row>
    <row r="41" spans="1:21" ht="14.7" customHeight="1">
      <c r="A41" t="s">
        <v>243</v>
      </c>
      <c r="B41" s="5" t="s">
        <v>33</v>
      </c>
      <c r="C41" s="5" t="s">
        <v>33</v>
      </c>
      <c r="D41" s="9" t="s">
        <v>27</v>
      </c>
      <c r="E41" s="5" t="s">
        <v>33</v>
      </c>
      <c r="F41" s="5" t="s">
        <v>33</v>
      </c>
      <c r="G41" s="5" t="s">
        <v>33</v>
      </c>
      <c r="H41" s="5" t="s">
        <v>33</v>
      </c>
      <c r="I41" s="5" t="s">
        <v>33</v>
      </c>
      <c r="J41" s="5" t="s">
        <v>33</v>
      </c>
      <c r="K41" s="5" t="s">
        <v>33</v>
      </c>
      <c r="L41" s="5" t="s">
        <v>33</v>
      </c>
      <c r="M41" s="5" t="s">
        <v>33</v>
      </c>
      <c r="N41" s="5" t="s">
        <v>33</v>
      </c>
      <c r="O41" s="2">
        <f t="shared" si="4"/>
        <v>1</v>
      </c>
      <c r="P41" s="12">
        <f t="shared" si="5"/>
        <v>7.6923076923076927E-2</v>
      </c>
      <c r="Q41" s="2" t="s">
        <v>34</v>
      </c>
      <c r="R41" s="2" t="s">
        <v>265</v>
      </c>
      <c r="S41" s="2" t="s">
        <v>709</v>
      </c>
      <c r="T41" s="2" t="s">
        <v>711</v>
      </c>
      <c r="U41" s="2" t="s">
        <v>115</v>
      </c>
    </row>
    <row r="42" spans="1:21" ht="14.7" customHeight="1">
      <c r="A42" t="s">
        <v>244</v>
      </c>
      <c r="B42" s="5" t="s">
        <v>33</v>
      </c>
      <c r="C42" s="5" t="s">
        <v>33</v>
      </c>
      <c r="D42" s="5" t="s">
        <v>33</v>
      </c>
      <c r="E42" s="5" t="s">
        <v>33</v>
      </c>
      <c r="F42" s="5" t="s">
        <v>33</v>
      </c>
      <c r="G42" s="5" t="s">
        <v>33</v>
      </c>
      <c r="H42" s="5" t="s">
        <v>33</v>
      </c>
      <c r="I42" s="9" t="s">
        <v>27</v>
      </c>
      <c r="J42" s="5" t="s">
        <v>33</v>
      </c>
      <c r="K42" s="5" t="s">
        <v>33</v>
      </c>
      <c r="L42" s="5" t="s">
        <v>33</v>
      </c>
      <c r="M42" s="5" t="s">
        <v>33</v>
      </c>
      <c r="N42" s="5" t="s">
        <v>33</v>
      </c>
      <c r="O42" s="2">
        <f t="shared" si="4"/>
        <v>1</v>
      </c>
      <c r="P42" s="12">
        <f t="shared" si="5"/>
        <v>7.6923076923076927E-2</v>
      </c>
      <c r="Q42" s="2" t="s">
        <v>34</v>
      </c>
      <c r="R42" t="s">
        <v>200</v>
      </c>
      <c r="S42" t="s">
        <v>170</v>
      </c>
      <c r="T42" t="s">
        <v>216</v>
      </c>
      <c r="U42" t="s">
        <v>145</v>
      </c>
    </row>
  </sheetData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0F30-E125-40EB-9BD7-862D57764F5E}">
  <sheetPr codeName="Sheet4"/>
  <dimension ref="A1:U41"/>
  <sheetViews>
    <sheetView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2" sqref="A1:U39"/>
    </sheetView>
  </sheetViews>
  <sheetFormatPr defaultColWidth="9.3046875" defaultRowHeight="15" customHeight="1"/>
  <cols>
    <col min="1" max="1" width="50.69140625" customWidth="1"/>
    <col min="2" max="12" width="13.69140625" customWidth="1"/>
    <col min="13" max="13" width="13.69140625" style="73" customWidth="1"/>
    <col min="14" max="15" width="13.69140625" customWidth="1"/>
    <col min="16" max="16" width="13.69140625" style="2" customWidth="1"/>
    <col min="17" max="18" width="20.69140625" style="2" customWidth="1"/>
    <col min="19" max="21" width="20.69140625" style="21" customWidth="1"/>
    <col min="22" max="22" width="10.3046875" customWidth="1"/>
  </cols>
  <sheetData>
    <row r="1" spans="1:21" ht="75" customHeight="1">
      <c r="A1" s="4" t="s">
        <v>245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80" t="s">
        <v>20</v>
      </c>
      <c r="N1" s="3" t="s">
        <v>13</v>
      </c>
      <c r="O1" s="3" t="s">
        <v>14</v>
      </c>
      <c r="P1" s="3" t="s">
        <v>15</v>
      </c>
      <c r="Q1" s="14" t="s">
        <v>21</v>
      </c>
      <c r="R1" s="14" t="s">
        <v>22</v>
      </c>
      <c r="S1" s="3" t="s">
        <v>23</v>
      </c>
      <c r="T1" s="3" t="s">
        <v>24</v>
      </c>
      <c r="U1" s="3" t="s">
        <v>25</v>
      </c>
    </row>
    <row r="2" spans="1:21" s="73" customFormat="1" ht="14.7" customHeight="1">
      <c r="A2" s="16" t="s">
        <v>246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43"/>
      <c r="T2" s="43"/>
      <c r="U2" s="43"/>
    </row>
    <row r="3" spans="1:21" ht="14.7" customHeight="1">
      <c r="A3" t="s">
        <v>247</v>
      </c>
      <c r="B3" s="2" t="s">
        <v>27</v>
      </c>
      <c r="C3" s="2" t="s">
        <v>27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81" t="s">
        <v>27</v>
      </c>
      <c r="N3" s="2" t="s">
        <v>27</v>
      </c>
      <c r="O3" s="2">
        <f>COUNTIF(B3:N3,"✔")</f>
        <v>13</v>
      </c>
      <c r="P3" s="1">
        <f>O3/13</f>
        <v>1</v>
      </c>
      <c r="Q3" t="s">
        <v>34</v>
      </c>
      <c r="R3" s="2" t="s">
        <v>164</v>
      </c>
      <c r="S3" t="s">
        <v>129</v>
      </c>
      <c r="T3" t="s">
        <v>31</v>
      </c>
      <c r="U3" t="s">
        <v>31</v>
      </c>
    </row>
    <row r="4" spans="1:21" ht="14.7" customHeight="1">
      <c r="A4" t="s">
        <v>248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27</v>
      </c>
      <c r="M4" s="81" t="s">
        <v>27</v>
      </c>
      <c r="N4" s="2" t="s">
        <v>27</v>
      </c>
      <c r="O4" s="2">
        <f t="shared" ref="O4:O40" si="0">COUNTIF(B4:N4,"✔")</f>
        <v>13</v>
      </c>
      <c r="P4" s="1">
        <f t="shared" ref="P4:P8" si="1">O4/13</f>
        <v>1</v>
      </c>
      <c r="Q4" t="s">
        <v>34</v>
      </c>
      <c r="R4" s="2" t="s">
        <v>29</v>
      </c>
      <c r="S4" t="s">
        <v>249</v>
      </c>
      <c r="T4" t="s">
        <v>124</v>
      </c>
      <c r="U4" t="s">
        <v>250</v>
      </c>
    </row>
    <row r="5" spans="1:21" ht="14.7" customHeight="1">
      <c r="A5" s="8" t="s">
        <v>251</v>
      </c>
      <c r="B5" s="2" t="s">
        <v>27</v>
      </c>
      <c r="C5" s="5" t="s">
        <v>33</v>
      </c>
      <c r="D5" s="5" t="s">
        <v>33</v>
      </c>
      <c r="E5" s="5" t="s">
        <v>33</v>
      </c>
      <c r="F5" s="5" t="s">
        <v>33</v>
      </c>
      <c r="G5" s="2" t="s">
        <v>27</v>
      </c>
      <c r="H5" s="5" t="s">
        <v>33</v>
      </c>
      <c r="I5" s="5" t="s">
        <v>33</v>
      </c>
      <c r="J5" s="2" t="s">
        <v>27</v>
      </c>
      <c r="K5" s="2" t="s">
        <v>27</v>
      </c>
      <c r="L5" s="2" t="s">
        <v>27</v>
      </c>
      <c r="M5" s="81" t="s">
        <v>27</v>
      </c>
      <c r="N5" s="5" t="s">
        <v>33</v>
      </c>
      <c r="O5" s="2">
        <f t="shared" si="0"/>
        <v>6</v>
      </c>
      <c r="P5" s="1">
        <f t="shared" si="1"/>
        <v>0.46153846153846156</v>
      </c>
      <c r="Q5" s="37" t="s">
        <v>34</v>
      </c>
      <c r="R5" s="36" t="s">
        <v>164</v>
      </c>
      <c r="S5" s="37" t="s">
        <v>252</v>
      </c>
      <c r="T5" s="37" t="s">
        <v>253</v>
      </c>
      <c r="U5" s="37" t="s">
        <v>254</v>
      </c>
    </row>
    <row r="6" spans="1:21" ht="14.7" customHeight="1">
      <c r="A6" t="s">
        <v>255</v>
      </c>
      <c r="B6" s="5" t="s">
        <v>33</v>
      </c>
      <c r="C6" s="2" t="s">
        <v>27</v>
      </c>
      <c r="D6" s="5" t="s">
        <v>33</v>
      </c>
      <c r="E6" s="5" t="s">
        <v>33</v>
      </c>
      <c r="F6" s="5" t="s">
        <v>33</v>
      </c>
      <c r="G6" s="2" t="s">
        <v>27</v>
      </c>
      <c r="H6" s="5" t="s">
        <v>33</v>
      </c>
      <c r="I6" s="5" t="s">
        <v>33</v>
      </c>
      <c r="J6" s="2" t="s">
        <v>27</v>
      </c>
      <c r="K6" s="2" t="s">
        <v>27</v>
      </c>
      <c r="L6" s="2" t="s">
        <v>27</v>
      </c>
      <c r="M6" s="82" t="s">
        <v>33</v>
      </c>
      <c r="N6" s="2" t="s">
        <v>27</v>
      </c>
      <c r="O6" s="2">
        <f t="shared" si="0"/>
        <v>6</v>
      </c>
      <c r="P6" s="1">
        <f t="shared" si="1"/>
        <v>0.46153846153846156</v>
      </c>
      <c r="Q6" s="37" t="s">
        <v>34</v>
      </c>
      <c r="R6" s="36" t="s">
        <v>44</v>
      </c>
      <c r="S6" s="37" t="s">
        <v>256</v>
      </c>
      <c r="T6" s="37" t="s">
        <v>257</v>
      </c>
      <c r="U6" s="44" t="s">
        <v>258</v>
      </c>
    </row>
    <row r="7" spans="1:21" ht="14.7" customHeight="1">
      <c r="B7" s="5"/>
      <c r="C7" s="2"/>
      <c r="D7" s="5"/>
      <c r="E7" s="5"/>
      <c r="F7" s="5"/>
      <c r="G7" s="2"/>
      <c r="H7" s="5"/>
      <c r="I7" s="5"/>
      <c r="J7" s="2"/>
      <c r="K7" s="2"/>
      <c r="L7" s="2"/>
      <c r="M7" s="82"/>
      <c r="N7" s="2"/>
      <c r="O7" s="2"/>
      <c r="P7" s="1"/>
      <c r="Q7" s="37" t="s">
        <v>34</v>
      </c>
      <c r="R7" s="36" t="s">
        <v>164</v>
      </c>
      <c r="S7" s="37" t="s">
        <v>252</v>
      </c>
      <c r="T7" s="37" t="s">
        <v>253</v>
      </c>
      <c r="U7" s="44" t="s">
        <v>254</v>
      </c>
    </row>
    <row r="8" spans="1:21" ht="14.7" customHeight="1">
      <c r="A8" t="s">
        <v>259</v>
      </c>
      <c r="B8" s="5" t="s">
        <v>33</v>
      </c>
      <c r="C8" s="2" t="s">
        <v>27</v>
      </c>
      <c r="D8" s="2" t="s">
        <v>27</v>
      </c>
      <c r="E8" s="5" t="s">
        <v>33</v>
      </c>
      <c r="F8" s="5" t="s">
        <v>33</v>
      </c>
      <c r="G8" s="2" t="s">
        <v>27</v>
      </c>
      <c r="H8" s="5" t="s">
        <v>33</v>
      </c>
      <c r="I8" s="5" t="s">
        <v>33</v>
      </c>
      <c r="J8" s="2" t="s">
        <v>27</v>
      </c>
      <c r="K8" s="2" t="s">
        <v>27</v>
      </c>
      <c r="L8" s="2" t="s">
        <v>27</v>
      </c>
      <c r="M8" s="83" t="s">
        <v>27</v>
      </c>
      <c r="N8" s="2" t="s">
        <v>27</v>
      </c>
      <c r="O8" s="2">
        <f t="shared" si="0"/>
        <v>8</v>
      </c>
      <c r="P8" s="1">
        <f t="shared" si="1"/>
        <v>0.61538461538461542</v>
      </c>
      <c r="Q8" s="21" t="s">
        <v>28</v>
      </c>
      <c r="R8" s="2" t="s">
        <v>29</v>
      </c>
      <c r="S8" t="s">
        <v>260</v>
      </c>
      <c r="T8" t="s">
        <v>261</v>
      </c>
      <c r="U8" t="s">
        <v>262</v>
      </c>
    </row>
    <row r="9" spans="1:21" s="73" customFormat="1" ht="14.7" customHeight="1">
      <c r="A9" s="16" t="s">
        <v>263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19"/>
      <c r="Q9" s="35"/>
      <c r="R9" s="35"/>
      <c r="S9" s="43"/>
      <c r="T9" s="43"/>
      <c r="U9" s="43"/>
    </row>
    <row r="10" spans="1:21" ht="14.7" customHeight="1">
      <c r="A10" t="s">
        <v>264</v>
      </c>
      <c r="B10" s="2" t="s">
        <v>27</v>
      </c>
      <c r="C10" s="2" t="s">
        <v>27</v>
      </c>
      <c r="D10" s="2" t="s">
        <v>27</v>
      </c>
      <c r="E10" s="5" t="s">
        <v>33</v>
      </c>
      <c r="F10" s="2" t="s">
        <v>27</v>
      </c>
      <c r="G10" s="2" t="s">
        <v>27</v>
      </c>
      <c r="H10" s="5" t="s">
        <v>33</v>
      </c>
      <c r="I10" s="5" t="s">
        <v>33</v>
      </c>
      <c r="J10" s="2" t="s">
        <v>27</v>
      </c>
      <c r="K10" s="2" t="s">
        <v>27</v>
      </c>
      <c r="L10" s="2" t="s">
        <v>27</v>
      </c>
      <c r="M10" s="81" t="s">
        <v>27</v>
      </c>
      <c r="N10" s="2" t="s">
        <v>27</v>
      </c>
      <c r="O10" s="2">
        <f t="shared" si="0"/>
        <v>10</v>
      </c>
      <c r="P10" s="1">
        <f>O10/13</f>
        <v>0.76923076923076927</v>
      </c>
      <c r="Q10" s="21" t="s">
        <v>34</v>
      </c>
      <c r="R10" s="2" t="s">
        <v>265</v>
      </c>
      <c r="S10" s="21" t="s">
        <v>266</v>
      </c>
      <c r="T10" s="21" t="s">
        <v>267</v>
      </c>
      <c r="U10" s="21" t="s">
        <v>268</v>
      </c>
    </row>
    <row r="11" spans="1:21" ht="14.7" customHeight="1">
      <c r="B11" s="2"/>
      <c r="C11" s="2"/>
      <c r="D11" s="2"/>
      <c r="E11" s="5"/>
      <c r="F11" s="2"/>
      <c r="G11" s="2"/>
      <c r="H11" s="5"/>
      <c r="I11" s="5"/>
      <c r="J11" s="2"/>
      <c r="K11" s="2"/>
      <c r="L11" s="2"/>
      <c r="M11" s="81"/>
      <c r="N11" s="2"/>
      <c r="O11" s="2"/>
      <c r="P11" s="1"/>
      <c r="Q11" s="21" t="s">
        <v>34</v>
      </c>
      <c r="R11" s="2" t="s">
        <v>265</v>
      </c>
      <c r="S11" s="21" t="s">
        <v>266</v>
      </c>
      <c r="T11" s="21" t="s">
        <v>193</v>
      </c>
      <c r="U11" s="21" t="s">
        <v>269</v>
      </c>
    </row>
    <row r="12" spans="1:21" ht="14.7" customHeight="1">
      <c r="A12" t="s">
        <v>270</v>
      </c>
      <c r="B12" s="2" t="s">
        <v>27</v>
      </c>
      <c r="C12" s="2" t="s">
        <v>27</v>
      </c>
      <c r="D12" s="5" t="s">
        <v>33</v>
      </c>
      <c r="E12" s="5" t="s">
        <v>33</v>
      </c>
      <c r="F12" s="2" t="s">
        <v>27</v>
      </c>
      <c r="G12" s="2" t="s">
        <v>27</v>
      </c>
      <c r="H12" s="5" t="s">
        <v>33</v>
      </c>
      <c r="I12" s="5" t="s">
        <v>33</v>
      </c>
      <c r="J12" s="2" t="s">
        <v>27</v>
      </c>
      <c r="K12" s="2" t="s">
        <v>27</v>
      </c>
      <c r="L12" s="2" t="s">
        <v>27</v>
      </c>
      <c r="M12" s="81" t="s">
        <v>27</v>
      </c>
      <c r="N12" s="2" t="s">
        <v>27</v>
      </c>
      <c r="O12" s="2">
        <f t="shared" si="0"/>
        <v>9</v>
      </c>
      <c r="P12" s="1">
        <f>O12/13</f>
        <v>0.69230769230769229</v>
      </c>
      <c r="Q12" s="45" t="s">
        <v>34</v>
      </c>
      <c r="R12" s="46" t="s">
        <v>164</v>
      </c>
      <c r="S12" s="47" t="s">
        <v>129</v>
      </c>
      <c r="T12" s="21" t="s">
        <v>31</v>
      </c>
      <c r="U12" s="21" t="s">
        <v>31</v>
      </c>
    </row>
    <row r="13" spans="1:21" ht="14.7" customHeight="1">
      <c r="A13" t="s">
        <v>271</v>
      </c>
      <c r="B13" s="5" t="s">
        <v>33</v>
      </c>
      <c r="C13" s="2" t="s">
        <v>27</v>
      </c>
      <c r="D13" s="5" t="s">
        <v>33</v>
      </c>
      <c r="E13" s="5" t="s">
        <v>33</v>
      </c>
      <c r="F13" s="5" t="s">
        <v>33</v>
      </c>
      <c r="G13" s="2" t="s">
        <v>27</v>
      </c>
      <c r="H13" s="5" t="s">
        <v>33</v>
      </c>
      <c r="I13" s="5" t="s">
        <v>33</v>
      </c>
      <c r="J13" s="5" t="s">
        <v>33</v>
      </c>
      <c r="K13" s="2" t="s">
        <v>27</v>
      </c>
      <c r="L13" s="2" t="s">
        <v>27</v>
      </c>
      <c r="M13" s="82" t="s">
        <v>33</v>
      </c>
      <c r="N13" s="5" t="s">
        <v>33</v>
      </c>
      <c r="O13" s="2">
        <f t="shared" si="0"/>
        <v>4</v>
      </c>
      <c r="P13" s="1">
        <f>O13/13</f>
        <v>0.30769230769230771</v>
      </c>
      <c r="Q13" s="48" t="s">
        <v>34</v>
      </c>
      <c r="R13" s="36" t="s">
        <v>164</v>
      </c>
      <c r="S13" s="37" t="s">
        <v>252</v>
      </c>
      <c r="T13" s="37" t="s">
        <v>272</v>
      </c>
      <c r="U13" s="37" t="s">
        <v>273</v>
      </c>
    </row>
    <row r="14" spans="1:21" s="73" customFormat="1" ht="14.7" customHeight="1">
      <c r="A14" s="16" t="s">
        <v>274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19"/>
      <c r="Q14" s="35"/>
      <c r="R14" s="35"/>
      <c r="S14" s="43"/>
      <c r="T14" s="43"/>
      <c r="U14" s="43"/>
    </row>
    <row r="15" spans="1:21" ht="14.7" customHeight="1">
      <c r="A15" t="s">
        <v>275</v>
      </c>
      <c r="B15" s="2" t="s">
        <v>27</v>
      </c>
      <c r="C15" s="2" t="s">
        <v>27</v>
      </c>
      <c r="D15" s="2" t="s">
        <v>27</v>
      </c>
      <c r="E15" s="5" t="s">
        <v>33</v>
      </c>
      <c r="F15" s="5" t="s">
        <v>33</v>
      </c>
      <c r="G15" s="2" t="s">
        <v>27</v>
      </c>
      <c r="H15" s="5" t="s">
        <v>33</v>
      </c>
      <c r="I15" s="5" t="s">
        <v>33</v>
      </c>
      <c r="J15" s="2" t="s">
        <v>27</v>
      </c>
      <c r="K15" s="2" t="s">
        <v>27</v>
      </c>
      <c r="L15" s="5" t="s">
        <v>33</v>
      </c>
      <c r="M15" s="81" t="s">
        <v>27</v>
      </c>
      <c r="N15" s="2" t="s">
        <v>27</v>
      </c>
      <c r="O15" s="2">
        <f>COUNTIF(B15:N15,"✔")</f>
        <v>8</v>
      </c>
      <c r="P15" s="1">
        <f>O15/13</f>
        <v>0.61538461538461542</v>
      </c>
      <c r="Q15" s="45" t="s">
        <v>34</v>
      </c>
      <c r="R15" s="46" t="s">
        <v>164</v>
      </c>
      <c r="S15" s="45" t="s">
        <v>129</v>
      </c>
      <c r="T15" s="45" t="s">
        <v>276</v>
      </c>
      <c r="U15" s="45" t="s">
        <v>38</v>
      </c>
    </row>
    <row r="16" spans="1:21" ht="14.7" customHeight="1">
      <c r="A16" t="s">
        <v>277</v>
      </c>
      <c r="B16" s="2" t="s">
        <v>27</v>
      </c>
      <c r="C16" s="2" t="s">
        <v>27</v>
      </c>
      <c r="D16" s="5" t="s">
        <v>33</v>
      </c>
      <c r="E16" s="5" t="s">
        <v>33</v>
      </c>
      <c r="F16" s="5" t="s">
        <v>33</v>
      </c>
      <c r="G16" s="2" t="s">
        <v>27</v>
      </c>
      <c r="H16" s="5" t="s">
        <v>33</v>
      </c>
      <c r="I16" s="5" t="s">
        <v>33</v>
      </c>
      <c r="J16" s="2" t="s">
        <v>27</v>
      </c>
      <c r="K16" s="2" t="s">
        <v>27</v>
      </c>
      <c r="L16" s="5" t="s">
        <v>33</v>
      </c>
      <c r="M16" s="82" t="s">
        <v>33</v>
      </c>
      <c r="N16" s="2" t="s">
        <v>27</v>
      </c>
      <c r="O16" s="2">
        <f t="shared" si="0"/>
        <v>6</v>
      </c>
      <c r="P16" s="1">
        <f t="shared" ref="P16:P40" si="2">O16/12</f>
        <v>0.5</v>
      </c>
      <c r="Q16" s="45" t="s">
        <v>34</v>
      </c>
      <c r="R16" s="46" t="s">
        <v>164</v>
      </c>
      <c r="S16" s="45" t="s">
        <v>129</v>
      </c>
      <c r="T16" s="45" t="s">
        <v>278</v>
      </c>
      <c r="U16" s="45" t="s">
        <v>145</v>
      </c>
    </row>
    <row r="17" spans="1:21" ht="14.7" customHeight="1">
      <c r="A17" t="s">
        <v>279</v>
      </c>
      <c r="B17" s="2" t="s">
        <v>27</v>
      </c>
      <c r="C17" s="2" t="s">
        <v>27</v>
      </c>
      <c r="D17" s="2" t="s">
        <v>27</v>
      </c>
      <c r="E17" s="5" t="s">
        <v>33</v>
      </c>
      <c r="F17" s="5" t="s">
        <v>33</v>
      </c>
      <c r="G17" s="2" t="s">
        <v>27</v>
      </c>
      <c r="H17" s="5" t="s">
        <v>33</v>
      </c>
      <c r="I17" s="5" t="s">
        <v>33</v>
      </c>
      <c r="J17" s="5" t="s">
        <v>33</v>
      </c>
      <c r="K17" s="2" t="s">
        <v>27</v>
      </c>
      <c r="L17" s="5" t="s">
        <v>33</v>
      </c>
      <c r="M17" s="82" t="s">
        <v>33</v>
      </c>
      <c r="N17" s="2" t="s">
        <v>27</v>
      </c>
      <c r="O17" s="2">
        <f t="shared" si="0"/>
        <v>6</v>
      </c>
      <c r="P17" s="1">
        <f t="shared" si="2"/>
        <v>0.5</v>
      </c>
      <c r="Q17" s="45" t="s">
        <v>34</v>
      </c>
      <c r="R17" s="46" t="s">
        <v>164</v>
      </c>
      <c r="S17" s="45" t="s">
        <v>129</v>
      </c>
      <c r="T17" s="45" t="s">
        <v>280</v>
      </c>
      <c r="U17" s="45" t="s">
        <v>145</v>
      </c>
    </row>
    <row r="18" spans="1:21" ht="14.7" customHeight="1">
      <c r="B18" s="2"/>
      <c r="C18" s="2"/>
      <c r="D18" s="2"/>
      <c r="E18" s="5"/>
      <c r="F18" s="5"/>
      <c r="G18" s="2"/>
      <c r="H18" s="5"/>
      <c r="I18" s="5"/>
      <c r="J18" s="5"/>
      <c r="K18" s="2"/>
      <c r="L18" s="5"/>
      <c r="M18" s="82"/>
      <c r="N18" s="2"/>
      <c r="O18" s="2"/>
      <c r="P18" s="1"/>
      <c r="Q18" s="45" t="s">
        <v>34</v>
      </c>
      <c r="R18" s="46" t="s">
        <v>29</v>
      </c>
      <c r="S18" s="45" t="s">
        <v>249</v>
      </c>
      <c r="T18" s="45" t="s">
        <v>281</v>
      </c>
      <c r="U18" s="45" t="s">
        <v>105</v>
      </c>
    </row>
    <row r="19" spans="1:21" ht="14.7" customHeight="1">
      <c r="A19" t="s">
        <v>282</v>
      </c>
      <c r="B19" s="2" t="s">
        <v>27</v>
      </c>
      <c r="C19" s="2" t="s">
        <v>27</v>
      </c>
      <c r="D19" s="5" t="s">
        <v>33</v>
      </c>
      <c r="E19" s="5" t="s">
        <v>33</v>
      </c>
      <c r="F19" s="5" t="s">
        <v>33</v>
      </c>
      <c r="G19" s="2" t="s">
        <v>27</v>
      </c>
      <c r="H19" s="5" t="s">
        <v>33</v>
      </c>
      <c r="I19" s="5" t="s">
        <v>33</v>
      </c>
      <c r="J19" s="5" t="s">
        <v>33</v>
      </c>
      <c r="K19" s="2" t="s">
        <v>27</v>
      </c>
      <c r="L19" s="5" t="s">
        <v>33</v>
      </c>
      <c r="M19" s="82" t="s">
        <v>33</v>
      </c>
      <c r="N19" s="5" t="s">
        <v>33</v>
      </c>
      <c r="O19" s="2">
        <f t="shared" si="0"/>
        <v>4</v>
      </c>
      <c r="P19" s="1">
        <f t="shared" si="2"/>
        <v>0.33333333333333331</v>
      </c>
      <c r="Q19" s="48"/>
      <c r="R19" s="2" t="s">
        <v>33</v>
      </c>
      <c r="S19" s="37"/>
      <c r="T19" s="37"/>
      <c r="U19" s="37"/>
    </row>
    <row r="20" spans="1:21" ht="14.7" customHeight="1">
      <c r="A20" t="s">
        <v>283</v>
      </c>
      <c r="B20" s="2" t="s">
        <v>27</v>
      </c>
      <c r="C20" s="2" t="s">
        <v>27</v>
      </c>
      <c r="D20" s="5" t="s">
        <v>33</v>
      </c>
      <c r="E20" s="2" t="s">
        <v>27</v>
      </c>
      <c r="F20" s="2" t="s">
        <v>27</v>
      </c>
      <c r="G20" s="2" t="s">
        <v>27</v>
      </c>
      <c r="H20" s="5" t="s">
        <v>33</v>
      </c>
      <c r="I20" s="5" t="s">
        <v>33</v>
      </c>
      <c r="J20" s="2" t="s">
        <v>27</v>
      </c>
      <c r="K20" s="2" t="s">
        <v>27</v>
      </c>
      <c r="L20" s="5" t="s">
        <v>33</v>
      </c>
      <c r="M20" s="82" t="s">
        <v>33</v>
      </c>
      <c r="N20" s="2" t="s">
        <v>27</v>
      </c>
      <c r="O20" s="2">
        <f t="shared" si="0"/>
        <v>8</v>
      </c>
      <c r="P20" s="1">
        <f t="shared" si="2"/>
        <v>0.66666666666666663</v>
      </c>
      <c r="Q20" s="47" t="s">
        <v>34</v>
      </c>
      <c r="R20" s="49" t="s">
        <v>265</v>
      </c>
      <c r="S20" s="47" t="s">
        <v>266</v>
      </c>
      <c r="T20" s="47" t="s">
        <v>193</v>
      </c>
      <c r="U20" s="47" t="s">
        <v>269</v>
      </c>
    </row>
    <row r="21" spans="1:21" ht="14.7" customHeight="1">
      <c r="A21" t="s">
        <v>284</v>
      </c>
      <c r="B21" s="5" t="s">
        <v>33</v>
      </c>
      <c r="C21" s="2" t="s">
        <v>27</v>
      </c>
      <c r="D21" s="5" t="s">
        <v>33</v>
      </c>
      <c r="E21" s="5" t="s">
        <v>33</v>
      </c>
      <c r="F21" s="2" t="s">
        <v>27</v>
      </c>
      <c r="G21" s="2" t="s">
        <v>27</v>
      </c>
      <c r="H21" s="5" t="s">
        <v>33</v>
      </c>
      <c r="I21" s="5" t="s">
        <v>33</v>
      </c>
      <c r="J21" s="2" t="s">
        <v>27</v>
      </c>
      <c r="K21" s="2" t="s">
        <v>27</v>
      </c>
      <c r="L21" s="5" t="s">
        <v>33</v>
      </c>
      <c r="M21" s="82" t="s">
        <v>33</v>
      </c>
      <c r="N21" s="2" t="s">
        <v>27</v>
      </c>
      <c r="O21" s="2">
        <f t="shared" si="0"/>
        <v>6</v>
      </c>
      <c r="P21" s="1">
        <f>O21/12</f>
        <v>0.5</v>
      </c>
      <c r="Q21" s="45" t="s">
        <v>34</v>
      </c>
      <c r="R21" s="46" t="s">
        <v>265</v>
      </c>
      <c r="S21" s="45" t="s">
        <v>285</v>
      </c>
      <c r="T21" s="45" t="s">
        <v>286</v>
      </c>
      <c r="U21" s="45" t="s">
        <v>145</v>
      </c>
    </row>
    <row r="22" spans="1:21" s="73" customFormat="1" ht="14.7" customHeight="1">
      <c r="A22" s="16" t="s">
        <v>287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19"/>
      <c r="Q22" s="35"/>
      <c r="R22" s="35"/>
      <c r="S22" s="43"/>
      <c r="T22" s="43"/>
      <c r="U22" s="43"/>
    </row>
    <row r="23" spans="1:21" ht="14.7" customHeight="1">
      <c r="A23" t="s">
        <v>288</v>
      </c>
      <c r="B23" s="2" t="s">
        <v>27</v>
      </c>
      <c r="C23" s="2" t="s">
        <v>27</v>
      </c>
      <c r="D23" s="5" t="s">
        <v>33</v>
      </c>
      <c r="E23" s="5" t="s">
        <v>33</v>
      </c>
      <c r="F23" s="5" t="s">
        <v>33</v>
      </c>
      <c r="G23" s="2" t="s">
        <v>27</v>
      </c>
      <c r="H23" s="5" t="s">
        <v>33</v>
      </c>
      <c r="I23" s="5" t="s">
        <v>33</v>
      </c>
      <c r="J23" s="5" t="s">
        <v>33</v>
      </c>
      <c r="K23" s="2" t="s">
        <v>27</v>
      </c>
      <c r="L23" s="5" t="s">
        <v>33</v>
      </c>
      <c r="M23" s="82" t="s">
        <v>33</v>
      </c>
      <c r="N23" s="5" t="s">
        <v>33</v>
      </c>
      <c r="O23" s="2">
        <f t="shared" si="0"/>
        <v>4</v>
      </c>
      <c r="P23" s="1">
        <f t="shared" si="2"/>
        <v>0.33333333333333331</v>
      </c>
      <c r="Q23" s="37" t="s">
        <v>34</v>
      </c>
      <c r="R23" s="36" t="s">
        <v>29</v>
      </c>
      <c r="S23" s="37" t="s">
        <v>50</v>
      </c>
      <c r="T23" s="37" t="s">
        <v>231</v>
      </c>
      <c r="U23" s="37" t="s">
        <v>289</v>
      </c>
    </row>
    <row r="24" spans="1:21" ht="14.7" customHeight="1">
      <c r="A24" t="s">
        <v>290</v>
      </c>
      <c r="B24" s="2" t="s">
        <v>27</v>
      </c>
      <c r="C24" s="5" t="s">
        <v>33</v>
      </c>
      <c r="D24" s="5" t="s">
        <v>33</v>
      </c>
      <c r="E24" s="5" t="s">
        <v>33</v>
      </c>
      <c r="F24" s="5" t="s">
        <v>33</v>
      </c>
      <c r="G24" s="2" t="s">
        <v>27</v>
      </c>
      <c r="H24" s="5" t="s">
        <v>33</v>
      </c>
      <c r="I24" s="5" t="s">
        <v>33</v>
      </c>
      <c r="J24" s="5" t="s">
        <v>33</v>
      </c>
      <c r="K24" s="2" t="s">
        <v>27</v>
      </c>
      <c r="L24" s="5" t="s">
        <v>33</v>
      </c>
      <c r="M24" s="82" t="s">
        <v>33</v>
      </c>
      <c r="N24" s="5" t="s">
        <v>33</v>
      </c>
      <c r="O24" s="2">
        <f t="shared" si="0"/>
        <v>3</v>
      </c>
      <c r="P24" s="1">
        <f t="shared" si="2"/>
        <v>0.25</v>
      </c>
      <c r="Q24" s="39" t="s">
        <v>34</v>
      </c>
      <c r="R24" s="38" t="s">
        <v>164</v>
      </c>
      <c r="S24" s="39" t="s">
        <v>129</v>
      </c>
      <c r="T24" s="39" t="s">
        <v>291</v>
      </c>
      <c r="U24" s="39" t="s">
        <v>38</v>
      </c>
    </row>
    <row r="25" spans="1:21" ht="14.7" customHeight="1">
      <c r="A25" t="s">
        <v>292</v>
      </c>
      <c r="B25" s="2" t="s">
        <v>27</v>
      </c>
      <c r="C25" s="2" t="s">
        <v>27</v>
      </c>
      <c r="D25" s="2" t="s">
        <v>27</v>
      </c>
      <c r="E25" s="5" t="s">
        <v>33</v>
      </c>
      <c r="F25" s="2" t="s">
        <v>27</v>
      </c>
      <c r="G25" s="2" t="s">
        <v>27</v>
      </c>
      <c r="H25" s="5" t="s">
        <v>33</v>
      </c>
      <c r="I25" s="5" t="s">
        <v>33</v>
      </c>
      <c r="J25" s="2" t="s">
        <v>27</v>
      </c>
      <c r="K25" s="2" t="s">
        <v>27</v>
      </c>
      <c r="L25" s="5" t="s">
        <v>33</v>
      </c>
      <c r="M25" s="82" t="s">
        <v>33</v>
      </c>
      <c r="N25" s="2" t="s">
        <v>27</v>
      </c>
      <c r="O25" s="2">
        <f t="shared" si="0"/>
        <v>8</v>
      </c>
      <c r="P25" s="1">
        <f t="shared" si="2"/>
        <v>0.66666666666666663</v>
      </c>
      <c r="Q25" s="37" t="s">
        <v>34</v>
      </c>
      <c r="R25" s="36" t="s">
        <v>164</v>
      </c>
      <c r="S25" s="37" t="s">
        <v>129</v>
      </c>
      <c r="T25" s="37" t="s">
        <v>293</v>
      </c>
      <c r="U25" s="37" t="s">
        <v>83</v>
      </c>
    </row>
    <row r="26" spans="1:21" ht="14.7" customHeight="1">
      <c r="A26" s="8" t="s">
        <v>294</v>
      </c>
      <c r="B26" s="5" t="s">
        <v>33</v>
      </c>
      <c r="C26" s="5" t="s">
        <v>33</v>
      </c>
      <c r="D26" s="5" t="s">
        <v>33</v>
      </c>
      <c r="E26" s="5" t="s">
        <v>33</v>
      </c>
      <c r="F26" s="5" t="s">
        <v>33</v>
      </c>
      <c r="G26" s="2" t="s">
        <v>27</v>
      </c>
      <c r="H26" s="5" t="s">
        <v>33</v>
      </c>
      <c r="I26" s="5" t="s">
        <v>33</v>
      </c>
      <c r="J26" s="5" t="s">
        <v>33</v>
      </c>
      <c r="K26" s="5" t="s">
        <v>33</v>
      </c>
      <c r="L26" s="5" t="s">
        <v>33</v>
      </c>
      <c r="M26" s="82" t="s">
        <v>33</v>
      </c>
      <c r="N26" s="5" t="s">
        <v>33</v>
      </c>
      <c r="O26" s="2">
        <f t="shared" si="0"/>
        <v>1</v>
      </c>
      <c r="P26" s="1">
        <f t="shared" si="2"/>
        <v>8.3333333333333329E-2</v>
      </c>
      <c r="Q26" s="39" t="s">
        <v>34</v>
      </c>
      <c r="R26" s="36" t="s">
        <v>29</v>
      </c>
      <c r="S26" s="39" t="s">
        <v>295</v>
      </c>
      <c r="T26" s="39" t="s">
        <v>296</v>
      </c>
      <c r="U26" s="39" t="s">
        <v>35</v>
      </c>
    </row>
    <row r="27" spans="1:21" ht="14.7" customHeight="1">
      <c r="A27" t="s">
        <v>297</v>
      </c>
      <c r="B27" s="2" t="s">
        <v>27</v>
      </c>
      <c r="C27" s="5" t="s">
        <v>33</v>
      </c>
      <c r="D27" s="2" t="s">
        <v>27</v>
      </c>
      <c r="E27" s="5" t="s">
        <v>33</v>
      </c>
      <c r="F27" s="5" t="s">
        <v>33</v>
      </c>
      <c r="G27" s="2" t="s">
        <v>27</v>
      </c>
      <c r="H27" s="5" t="s">
        <v>33</v>
      </c>
      <c r="I27" s="5" t="s">
        <v>33</v>
      </c>
      <c r="J27" s="5" t="s">
        <v>33</v>
      </c>
      <c r="K27" s="5" t="s">
        <v>33</v>
      </c>
      <c r="L27" s="5" t="s">
        <v>33</v>
      </c>
      <c r="M27" s="82" t="s">
        <v>33</v>
      </c>
      <c r="N27" s="5" t="s">
        <v>33</v>
      </c>
      <c r="O27" s="2">
        <f t="shared" si="0"/>
        <v>3</v>
      </c>
      <c r="P27" s="1">
        <f t="shared" si="2"/>
        <v>0.25</v>
      </c>
      <c r="Q27" s="37" t="s">
        <v>34</v>
      </c>
      <c r="R27" s="36" t="s">
        <v>29</v>
      </c>
      <c r="S27" s="37" t="s">
        <v>295</v>
      </c>
      <c r="T27" s="37" t="s">
        <v>298</v>
      </c>
      <c r="U27" s="37" t="s">
        <v>52</v>
      </c>
    </row>
    <row r="28" spans="1:21" ht="14.7" customHeight="1">
      <c r="A28" t="s">
        <v>299</v>
      </c>
      <c r="B28" s="2" t="s">
        <v>27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2" t="s">
        <v>27</v>
      </c>
      <c r="K28" s="5" t="s">
        <v>33</v>
      </c>
      <c r="L28" s="5" t="s">
        <v>33</v>
      </c>
      <c r="M28" s="81" t="s">
        <v>27</v>
      </c>
      <c r="N28" s="5" t="s">
        <v>33</v>
      </c>
      <c r="O28" s="2">
        <f t="shared" si="0"/>
        <v>3</v>
      </c>
      <c r="P28" s="1">
        <f t="shared" si="2"/>
        <v>0.25</v>
      </c>
      <c r="Q28" s="37" t="s">
        <v>34</v>
      </c>
      <c r="R28" s="36" t="s">
        <v>29</v>
      </c>
      <c r="S28" s="37" t="s">
        <v>694</v>
      </c>
      <c r="T28" s="37" t="s">
        <v>300</v>
      </c>
      <c r="U28" s="37" t="s">
        <v>301</v>
      </c>
    </row>
    <row r="29" spans="1:21" ht="14.7" customHeight="1">
      <c r="A29" t="s">
        <v>302</v>
      </c>
      <c r="B29" s="2" t="s">
        <v>27</v>
      </c>
      <c r="C29" s="5" t="s">
        <v>33</v>
      </c>
      <c r="D29" s="2" t="s">
        <v>27</v>
      </c>
      <c r="E29" s="5" t="s">
        <v>33</v>
      </c>
      <c r="F29" s="5" t="s">
        <v>33</v>
      </c>
      <c r="G29" s="2" t="s">
        <v>27</v>
      </c>
      <c r="H29" s="5" t="s">
        <v>33</v>
      </c>
      <c r="I29" s="5" t="s">
        <v>33</v>
      </c>
      <c r="J29" s="5" t="s">
        <v>33</v>
      </c>
      <c r="K29" s="5" t="s">
        <v>33</v>
      </c>
      <c r="L29" s="5" t="s">
        <v>33</v>
      </c>
      <c r="M29" s="81" t="s">
        <v>27</v>
      </c>
      <c r="N29" s="5" t="s">
        <v>33</v>
      </c>
      <c r="O29" s="2">
        <f t="shared" si="0"/>
        <v>4</v>
      </c>
      <c r="P29" s="1">
        <f t="shared" si="2"/>
        <v>0.33333333333333331</v>
      </c>
      <c r="Q29" s="37" t="s">
        <v>34</v>
      </c>
      <c r="R29" s="36" t="s">
        <v>29</v>
      </c>
      <c r="S29" s="37" t="s">
        <v>66</v>
      </c>
      <c r="T29" s="37" t="s">
        <v>124</v>
      </c>
      <c r="U29" s="37" t="s">
        <v>303</v>
      </c>
    </row>
    <row r="30" spans="1:21" ht="14.7" customHeight="1">
      <c r="A30" t="s">
        <v>304</v>
      </c>
      <c r="B30" s="5" t="s">
        <v>33</v>
      </c>
      <c r="C30" s="5" t="s">
        <v>33</v>
      </c>
      <c r="D30" s="2" t="s">
        <v>27</v>
      </c>
      <c r="E30" s="5" t="s">
        <v>33</v>
      </c>
      <c r="F30" s="5" t="s">
        <v>33</v>
      </c>
      <c r="G30" s="2" t="s">
        <v>27</v>
      </c>
      <c r="H30" s="5" t="s">
        <v>33</v>
      </c>
      <c r="I30" s="5" t="s">
        <v>33</v>
      </c>
      <c r="J30" s="5" t="s">
        <v>33</v>
      </c>
      <c r="K30" s="5" t="s">
        <v>33</v>
      </c>
      <c r="L30" s="5" t="s">
        <v>33</v>
      </c>
      <c r="M30" s="81" t="s">
        <v>27</v>
      </c>
      <c r="N30" s="5" t="s">
        <v>33</v>
      </c>
      <c r="O30" s="2">
        <f t="shared" si="0"/>
        <v>3</v>
      </c>
      <c r="P30" s="1">
        <f t="shared" si="2"/>
        <v>0.25</v>
      </c>
      <c r="Q30" s="37" t="s">
        <v>34</v>
      </c>
      <c r="R30" s="36" t="s">
        <v>29</v>
      </c>
      <c r="S30" s="37" t="s">
        <v>66</v>
      </c>
      <c r="T30" s="37" t="s">
        <v>67</v>
      </c>
      <c r="U30" s="37" t="s">
        <v>68</v>
      </c>
    </row>
    <row r="31" spans="1:21" s="73" customFormat="1" ht="14.7" customHeight="1">
      <c r="A31" s="16" t="s">
        <v>305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19"/>
      <c r="Q31" s="35"/>
      <c r="R31" s="35"/>
      <c r="S31" s="43"/>
      <c r="T31" s="43"/>
      <c r="U31" s="43"/>
    </row>
    <row r="32" spans="1:21" ht="14.7" customHeight="1">
      <c r="A32" t="s">
        <v>306</v>
      </c>
      <c r="B32" s="2" t="s">
        <v>27</v>
      </c>
      <c r="C32" s="5" t="s">
        <v>33</v>
      </c>
      <c r="D32" s="5" t="s">
        <v>33</v>
      </c>
      <c r="E32" s="5" t="s">
        <v>33</v>
      </c>
      <c r="F32" s="5" t="s">
        <v>33</v>
      </c>
      <c r="G32" s="2" t="s">
        <v>27</v>
      </c>
      <c r="H32" s="5" t="s">
        <v>33</v>
      </c>
      <c r="I32" s="5" t="s">
        <v>33</v>
      </c>
      <c r="J32" s="5" t="s">
        <v>33</v>
      </c>
      <c r="K32" s="5" t="s">
        <v>33</v>
      </c>
      <c r="L32" s="5" t="s">
        <v>33</v>
      </c>
      <c r="M32" s="82" t="s">
        <v>33</v>
      </c>
      <c r="N32" s="5" t="s">
        <v>33</v>
      </c>
      <c r="O32" s="2">
        <f t="shared" si="0"/>
        <v>2</v>
      </c>
      <c r="P32" s="1">
        <f t="shared" si="2"/>
        <v>0.16666666666666666</v>
      </c>
      <c r="Q32" s="25" t="s">
        <v>34</v>
      </c>
      <c r="R32" s="49" t="s">
        <v>29</v>
      </c>
      <c r="S32" s="25" t="s">
        <v>307</v>
      </c>
      <c r="T32" s="25" t="s">
        <v>124</v>
      </c>
      <c r="U32" s="25" t="s">
        <v>308</v>
      </c>
    </row>
    <row r="33" spans="1:21" ht="14.7" customHeight="1">
      <c r="A33" t="s">
        <v>309</v>
      </c>
      <c r="B33" s="2" t="s">
        <v>27</v>
      </c>
      <c r="C33" s="2" t="s">
        <v>27</v>
      </c>
      <c r="D33" s="2" t="s">
        <v>27</v>
      </c>
      <c r="E33" s="5" t="s">
        <v>33</v>
      </c>
      <c r="F33" s="5" t="s">
        <v>33</v>
      </c>
      <c r="G33" s="2" t="s">
        <v>27</v>
      </c>
      <c r="H33" s="5" t="s">
        <v>33</v>
      </c>
      <c r="I33" s="5" t="s">
        <v>33</v>
      </c>
      <c r="J33" s="2" t="s">
        <v>27</v>
      </c>
      <c r="K33" s="5" t="s">
        <v>33</v>
      </c>
      <c r="L33" s="5" t="s">
        <v>33</v>
      </c>
      <c r="M33" s="82" t="s">
        <v>33</v>
      </c>
      <c r="N33" s="2" t="s">
        <v>27</v>
      </c>
      <c r="O33" s="2">
        <f t="shared" si="0"/>
        <v>6</v>
      </c>
      <c r="P33" s="1">
        <f t="shared" si="2"/>
        <v>0.5</v>
      </c>
      <c r="Q33" s="25" t="s">
        <v>34</v>
      </c>
      <c r="R33" s="49" t="s">
        <v>265</v>
      </c>
      <c r="S33" t="s">
        <v>285</v>
      </c>
      <c r="T33" s="25" t="s">
        <v>310</v>
      </c>
      <c r="U33" s="25" t="s">
        <v>145</v>
      </c>
    </row>
    <row r="34" spans="1:21" ht="14.7" customHeight="1">
      <c r="A34" t="s">
        <v>311</v>
      </c>
      <c r="B34" s="2" t="s">
        <v>27</v>
      </c>
      <c r="C34" s="5" t="s">
        <v>33</v>
      </c>
      <c r="D34" s="5" t="s">
        <v>33</v>
      </c>
      <c r="E34" s="5" t="s">
        <v>33</v>
      </c>
      <c r="F34" s="5" t="s">
        <v>33</v>
      </c>
      <c r="G34" s="2" t="s">
        <v>27</v>
      </c>
      <c r="H34" s="5" t="s">
        <v>33</v>
      </c>
      <c r="I34" s="5" t="s">
        <v>33</v>
      </c>
      <c r="J34" s="5" t="s">
        <v>33</v>
      </c>
      <c r="K34" s="2" t="s">
        <v>27</v>
      </c>
      <c r="L34" s="5" t="s">
        <v>33</v>
      </c>
      <c r="M34" s="81" t="s">
        <v>27</v>
      </c>
      <c r="N34" s="2" t="s">
        <v>27</v>
      </c>
      <c r="O34" s="2">
        <f t="shared" si="0"/>
        <v>5</v>
      </c>
      <c r="P34" s="1">
        <f t="shared" si="2"/>
        <v>0.41666666666666669</v>
      </c>
      <c r="Q34" s="25" t="s">
        <v>34</v>
      </c>
      <c r="R34" s="49" t="s">
        <v>265</v>
      </c>
      <c r="S34" t="s">
        <v>285</v>
      </c>
      <c r="T34" s="25" t="s">
        <v>31</v>
      </c>
      <c r="U34" s="25" t="s">
        <v>31</v>
      </c>
    </row>
    <row r="35" spans="1:21" ht="14.7" customHeight="1">
      <c r="A35" t="s">
        <v>312</v>
      </c>
      <c r="B35" s="2" t="s">
        <v>27</v>
      </c>
      <c r="C35" s="5" t="s">
        <v>33</v>
      </c>
      <c r="D35" s="5" t="s">
        <v>33</v>
      </c>
      <c r="E35" s="5" t="s">
        <v>33</v>
      </c>
      <c r="F35" s="5" t="s">
        <v>33</v>
      </c>
      <c r="G35" s="2" t="s">
        <v>27</v>
      </c>
      <c r="H35" s="5" t="s">
        <v>33</v>
      </c>
      <c r="I35" s="5" t="s">
        <v>33</v>
      </c>
      <c r="J35" s="5" t="s">
        <v>33</v>
      </c>
      <c r="K35" s="5" t="s">
        <v>33</v>
      </c>
      <c r="L35" s="5" t="s">
        <v>33</v>
      </c>
      <c r="M35" s="82" t="s">
        <v>33</v>
      </c>
      <c r="N35" s="5" t="s">
        <v>33</v>
      </c>
      <c r="O35" s="2">
        <f t="shared" si="0"/>
        <v>2</v>
      </c>
      <c r="P35" s="1">
        <f t="shared" si="2"/>
        <v>0.16666666666666666</v>
      </c>
      <c r="Q35" s="37" t="s">
        <v>34</v>
      </c>
      <c r="R35" s="36" t="s">
        <v>313</v>
      </c>
      <c r="S35" s="37" t="s">
        <v>314</v>
      </c>
      <c r="T35" s="37" t="s">
        <v>31</v>
      </c>
      <c r="U35" s="37" t="s">
        <v>31</v>
      </c>
    </row>
    <row r="36" spans="1:21" ht="14.7" customHeight="1">
      <c r="A36" t="s">
        <v>315</v>
      </c>
      <c r="B36" s="2" t="s">
        <v>27</v>
      </c>
      <c r="C36" s="5" t="s">
        <v>33</v>
      </c>
      <c r="D36" s="5" t="s">
        <v>33</v>
      </c>
      <c r="E36" s="5" t="s">
        <v>33</v>
      </c>
      <c r="F36" s="2" t="s">
        <v>27</v>
      </c>
      <c r="G36" s="2" t="s">
        <v>27</v>
      </c>
      <c r="H36" s="5" t="s">
        <v>33</v>
      </c>
      <c r="I36" s="5" t="s">
        <v>33</v>
      </c>
      <c r="J36" s="2" t="s">
        <v>27</v>
      </c>
      <c r="K36" s="5" t="s">
        <v>33</v>
      </c>
      <c r="L36" s="2" t="s">
        <v>27</v>
      </c>
      <c r="M36" s="81" t="s">
        <v>27</v>
      </c>
      <c r="N36" s="5" t="s">
        <v>33</v>
      </c>
      <c r="O36" s="2">
        <f t="shared" si="0"/>
        <v>6</v>
      </c>
      <c r="P36" s="1">
        <f t="shared" si="2"/>
        <v>0.5</v>
      </c>
      <c r="Q36" s="25" t="s">
        <v>34</v>
      </c>
      <c r="R36" s="49" t="s">
        <v>29</v>
      </c>
      <c r="S36" s="25" t="s">
        <v>50</v>
      </c>
      <c r="T36" s="25" t="s">
        <v>231</v>
      </c>
      <c r="U36" s="25" t="s">
        <v>289</v>
      </c>
    </row>
    <row r="37" spans="1:21" ht="14.7" customHeight="1">
      <c r="A37" t="s">
        <v>316</v>
      </c>
      <c r="B37" s="5" t="s">
        <v>33</v>
      </c>
      <c r="C37" s="5" t="s">
        <v>33</v>
      </c>
      <c r="D37" s="5" t="s">
        <v>33</v>
      </c>
      <c r="E37" s="5" t="s">
        <v>33</v>
      </c>
      <c r="F37" s="2" t="s">
        <v>27</v>
      </c>
      <c r="G37" s="2" t="s">
        <v>27</v>
      </c>
      <c r="H37" s="5" t="s">
        <v>33</v>
      </c>
      <c r="I37" s="5" t="s">
        <v>33</v>
      </c>
      <c r="J37" s="2" t="s">
        <v>27</v>
      </c>
      <c r="K37" s="2" t="s">
        <v>27</v>
      </c>
      <c r="L37" s="5" t="s">
        <v>33</v>
      </c>
      <c r="M37" s="82" t="s">
        <v>33</v>
      </c>
      <c r="N37" s="2" t="s">
        <v>27</v>
      </c>
      <c r="O37" s="2">
        <f t="shared" si="0"/>
        <v>5</v>
      </c>
      <c r="P37" s="1">
        <f t="shared" si="2"/>
        <v>0.41666666666666669</v>
      </c>
      <c r="Q37" s="25" t="s">
        <v>34</v>
      </c>
      <c r="R37" s="49" t="s">
        <v>44</v>
      </c>
      <c r="S37" s="25" t="s">
        <v>45</v>
      </c>
      <c r="T37" s="25" t="s">
        <v>317</v>
      </c>
      <c r="U37" s="25" t="s">
        <v>404</v>
      </c>
    </row>
    <row r="38" spans="1:21" ht="14.7" customHeight="1">
      <c r="A38" t="s">
        <v>318</v>
      </c>
      <c r="B38" s="5" t="s">
        <v>33</v>
      </c>
      <c r="C38" s="5" t="s">
        <v>33</v>
      </c>
      <c r="D38" s="5" t="s">
        <v>33</v>
      </c>
      <c r="E38" s="5" t="s">
        <v>33</v>
      </c>
      <c r="F38" s="2" t="s">
        <v>27</v>
      </c>
      <c r="G38" s="2" t="s">
        <v>27</v>
      </c>
      <c r="H38" s="5" t="s">
        <v>33</v>
      </c>
      <c r="I38" s="5" t="s">
        <v>33</v>
      </c>
      <c r="J38" s="2" t="s">
        <v>27</v>
      </c>
      <c r="K38" s="5" t="s">
        <v>33</v>
      </c>
      <c r="L38" s="2" t="s">
        <v>27</v>
      </c>
      <c r="M38" s="82" t="s">
        <v>33</v>
      </c>
      <c r="N38" s="5" t="s">
        <v>33</v>
      </c>
      <c r="O38" s="2">
        <f t="shared" si="0"/>
        <v>4</v>
      </c>
      <c r="P38" s="1">
        <f t="shared" si="2"/>
        <v>0.33333333333333331</v>
      </c>
      <c r="Q38" s="25" t="s">
        <v>34</v>
      </c>
      <c r="R38" s="49" t="s">
        <v>313</v>
      </c>
      <c r="S38" s="25" t="s">
        <v>712</v>
      </c>
      <c r="T38" s="25" t="s">
        <v>713</v>
      </c>
      <c r="U38" s="25" t="s">
        <v>714</v>
      </c>
    </row>
    <row r="39" spans="1:21" ht="14.7" customHeight="1">
      <c r="B39" s="5"/>
      <c r="C39" s="5"/>
      <c r="D39" s="5"/>
      <c r="E39" s="5"/>
      <c r="F39" s="2"/>
      <c r="G39" s="2"/>
      <c r="H39" s="5"/>
      <c r="I39" s="5"/>
      <c r="J39" s="2"/>
      <c r="K39" s="5"/>
      <c r="L39" s="2"/>
      <c r="M39" s="82"/>
      <c r="N39" s="5"/>
      <c r="O39" s="2"/>
      <c r="P39" s="1"/>
      <c r="Q39" s="25" t="s">
        <v>34</v>
      </c>
      <c r="R39" s="49" t="s">
        <v>313</v>
      </c>
      <c r="S39" s="25" t="s">
        <v>712</v>
      </c>
      <c r="T39" s="25" t="s">
        <v>715</v>
      </c>
      <c r="U39" s="25" t="s">
        <v>714</v>
      </c>
    </row>
    <row r="40" spans="1:21" ht="14.7" customHeight="1">
      <c r="A40" t="s">
        <v>319</v>
      </c>
      <c r="B40" s="5" t="s">
        <v>33</v>
      </c>
      <c r="C40" s="5" t="s">
        <v>33</v>
      </c>
      <c r="D40" s="5" t="s">
        <v>33</v>
      </c>
      <c r="E40" s="5" t="s">
        <v>33</v>
      </c>
      <c r="F40" s="2" t="s">
        <v>27</v>
      </c>
      <c r="G40" s="5" t="s">
        <v>33</v>
      </c>
      <c r="H40" s="5" t="s">
        <v>33</v>
      </c>
      <c r="I40" s="5" t="s">
        <v>33</v>
      </c>
      <c r="J40" s="2" t="s">
        <v>27</v>
      </c>
      <c r="K40" s="2" t="s">
        <v>27</v>
      </c>
      <c r="L40" s="5" t="s">
        <v>33</v>
      </c>
      <c r="M40" s="81" t="s">
        <v>27</v>
      </c>
      <c r="N40" s="2" t="s">
        <v>27</v>
      </c>
      <c r="O40" s="2">
        <f t="shared" si="0"/>
        <v>5</v>
      </c>
      <c r="P40" s="1">
        <f t="shared" si="2"/>
        <v>0.41666666666666669</v>
      </c>
      <c r="Q40" s="25" t="s">
        <v>34</v>
      </c>
      <c r="R40" s="49" t="s">
        <v>29</v>
      </c>
      <c r="S40" t="s">
        <v>66</v>
      </c>
      <c r="T40" s="25" t="s">
        <v>124</v>
      </c>
      <c r="U40" t="s">
        <v>303</v>
      </c>
    </row>
    <row r="41" spans="1:21" ht="14.6">
      <c r="B41" s="2"/>
      <c r="C41" s="2"/>
      <c r="D41" s="5"/>
      <c r="E41" s="5"/>
      <c r="F41" s="5"/>
      <c r="G41" s="2"/>
      <c r="H41" s="5"/>
      <c r="I41" s="5"/>
      <c r="J41" s="2"/>
      <c r="K41" s="5"/>
      <c r="L41" s="5"/>
      <c r="M41" s="81"/>
      <c r="N41" s="5"/>
      <c r="O41" s="2"/>
      <c r="P41" s="1"/>
      <c r="Q41" s="25" t="s">
        <v>34</v>
      </c>
      <c r="R41" s="49" t="s">
        <v>29</v>
      </c>
      <c r="S41" t="s">
        <v>66</v>
      </c>
      <c r="T41" s="21" t="s">
        <v>320</v>
      </c>
      <c r="U41" t="s">
        <v>321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65D7-1097-4D71-B564-D8318BAAB758}">
  <sheetPr codeName="Sheet5"/>
  <dimension ref="A1:U5"/>
  <sheetViews>
    <sheetView zoomScale="70" zoomScaleNormal="70" workbookViewId="0">
      <pane xSplit="1" topLeftCell="Q1" activePane="topRight" state="frozen"/>
      <selection pane="topRight" activeCell="S14" sqref="A1:XFD1048576"/>
    </sheetView>
  </sheetViews>
  <sheetFormatPr defaultRowHeight="15" customHeight="1"/>
  <cols>
    <col min="1" max="1" width="50.69140625" customWidth="1"/>
    <col min="2" max="16" width="13.69140625" customWidth="1"/>
    <col min="17" max="17" width="12.84375" customWidth="1"/>
    <col min="18" max="18" width="19.15234375" customWidth="1"/>
    <col min="19" max="19" width="17.3828125" bestFit="1" customWidth="1"/>
    <col min="20" max="20" width="22.53515625" bestFit="1" customWidth="1"/>
    <col min="21" max="21" width="21.15234375" customWidth="1"/>
  </cols>
  <sheetData>
    <row r="1" spans="1:21" ht="75">
      <c r="A1" s="4" t="s">
        <v>322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323</v>
      </c>
      <c r="N1" s="3" t="s">
        <v>13</v>
      </c>
      <c r="O1" s="3" t="s">
        <v>14</v>
      </c>
      <c r="P1" s="3" t="s">
        <v>15</v>
      </c>
      <c r="Q1" s="14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 ht="14.6">
      <c r="A2" t="s">
        <v>324</v>
      </c>
      <c r="B2" s="2" t="s">
        <v>27</v>
      </c>
      <c r="C2" s="2" t="s">
        <v>27</v>
      </c>
      <c r="D2" s="2" t="s">
        <v>27</v>
      </c>
      <c r="E2" s="2" t="s">
        <v>27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27</v>
      </c>
      <c r="K2" s="5" t="s">
        <v>33</v>
      </c>
      <c r="L2" s="5" t="s">
        <v>33</v>
      </c>
      <c r="M2" s="5" t="s">
        <v>33</v>
      </c>
      <c r="N2" s="5" t="s">
        <v>33</v>
      </c>
      <c r="O2" s="2">
        <f>COUNTIF(B2:N2,"✔")</f>
        <v>9</v>
      </c>
      <c r="P2" s="1">
        <f>O2/13</f>
        <v>0.69230769230769229</v>
      </c>
      <c r="Q2" s="20" t="s">
        <v>34</v>
      </c>
      <c r="R2" s="50" t="s">
        <v>29</v>
      </c>
      <c r="S2" s="50" t="s">
        <v>50</v>
      </c>
      <c r="T2" s="50" t="s">
        <v>231</v>
      </c>
      <c r="U2" s="20" t="s">
        <v>289</v>
      </c>
    </row>
    <row r="3" spans="1:21" ht="14.6">
      <c r="A3" t="s">
        <v>325</v>
      </c>
      <c r="B3" s="2" t="s">
        <v>27</v>
      </c>
      <c r="C3" s="2" t="s">
        <v>27</v>
      </c>
      <c r="D3" s="2" t="s">
        <v>27</v>
      </c>
      <c r="E3" s="2" t="s">
        <v>27</v>
      </c>
      <c r="F3" s="2" t="s">
        <v>27</v>
      </c>
      <c r="G3" s="2" t="s">
        <v>27</v>
      </c>
      <c r="H3" s="2" t="s">
        <v>27</v>
      </c>
      <c r="I3" s="2" t="s">
        <v>27</v>
      </c>
      <c r="J3" s="2" t="s">
        <v>27</v>
      </c>
      <c r="K3" s="5" t="s">
        <v>33</v>
      </c>
      <c r="L3" s="5" t="s">
        <v>33</v>
      </c>
      <c r="M3" s="2" t="s">
        <v>27</v>
      </c>
      <c r="N3" s="5" t="s">
        <v>33</v>
      </c>
      <c r="O3" s="2">
        <f t="shared" ref="O3:O5" si="0">COUNTIF(B3:N3,"✔")</f>
        <v>10</v>
      </c>
      <c r="P3" s="1">
        <f t="shared" ref="P3:P5" si="1">O3/13</f>
        <v>0.76923076923076927</v>
      </c>
      <c r="Q3" s="20" t="s">
        <v>34</v>
      </c>
      <c r="R3" s="50" t="s">
        <v>29</v>
      </c>
      <c r="S3" s="20" t="s">
        <v>50</v>
      </c>
      <c r="T3" s="50" t="s">
        <v>231</v>
      </c>
      <c r="U3" s="20" t="s">
        <v>289</v>
      </c>
    </row>
    <row r="4" spans="1:21" ht="14.6">
      <c r="A4" t="s">
        <v>326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2">
        <f t="shared" si="0"/>
        <v>8</v>
      </c>
      <c r="P4" s="1">
        <f t="shared" si="1"/>
        <v>0.61538461538461542</v>
      </c>
      <c r="Q4" s="20" t="s">
        <v>34</v>
      </c>
      <c r="R4" s="50" t="s">
        <v>29</v>
      </c>
      <c r="S4" s="20" t="s">
        <v>50</v>
      </c>
      <c r="T4" t="s">
        <v>327</v>
      </c>
      <c r="U4" s="50" t="s">
        <v>328</v>
      </c>
    </row>
    <row r="5" spans="1:21" ht="14.6">
      <c r="A5" t="s">
        <v>329</v>
      </c>
      <c r="B5" s="2" t="s">
        <v>27</v>
      </c>
      <c r="C5" s="2" t="s">
        <v>27</v>
      </c>
      <c r="D5" s="5" t="s">
        <v>33</v>
      </c>
      <c r="E5" s="2" t="s">
        <v>27</v>
      </c>
      <c r="F5" s="5" t="s">
        <v>33</v>
      </c>
      <c r="G5" s="5" t="s">
        <v>33</v>
      </c>
      <c r="H5" s="5" t="s">
        <v>33</v>
      </c>
      <c r="I5" s="5" t="s">
        <v>33</v>
      </c>
      <c r="J5" s="2" t="s">
        <v>27</v>
      </c>
      <c r="K5" s="5" t="s">
        <v>33</v>
      </c>
      <c r="L5" s="5" t="s">
        <v>33</v>
      </c>
      <c r="M5" s="2" t="s">
        <v>27</v>
      </c>
      <c r="N5" s="5" t="s">
        <v>33</v>
      </c>
      <c r="O5" s="2">
        <f t="shared" si="0"/>
        <v>5</v>
      </c>
      <c r="P5" s="1">
        <f t="shared" si="1"/>
        <v>0.38461538461538464</v>
      </c>
      <c r="Q5" s="20" t="s">
        <v>34</v>
      </c>
      <c r="R5" s="50" t="s">
        <v>29</v>
      </c>
      <c r="S5" s="20" t="s">
        <v>50</v>
      </c>
      <c r="T5" s="20" t="s">
        <v>231</v>
      </c>
      <c r="U5" s="20" t="s"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F115D-7793-4E2C-B443-9577051C96C6}">
  <sheetPr codeName="Sheet6"/>
  <dimension ref="A1:U31"/>
  <sheetViews>
    <sheetView zoomScale="70" zoomScaleNormal="70" workbookViewId="0">
      <pane xSplit="1" ySplit="1" topLeftCell="P2" activePane="bottomRight" state="frozen"/>
      <selection pane="topRight" activeCell="B1" sqref="B1"/>
      <selection pane="bottomLeft" activeCell="A2" sqref="A2"/>
      <selection pane="bottomRight" activeCell="U16" sqref="U16"/>
    </sheetView>
  </sheetViews>
  <sheetFormatPr defaultColWidth="9.3046875" defaultRowHeight="14.6"/>
  <cols>
    <col min="1" max="1" width="44.53515625" customWidth="1"/>
    <col min="2" max="16" width="13.69140625" customWidth="1"/>
    <col min="17" max="21" width="20.69140625" customWidth="1"/>
    <col min="22" max="22" width="20.3046875" customWidth="1"/>
  </cols>
  <sheetData>
    <row r="1" spans="1:21" ht="75">
      <c r="A1" s="4" t="s">
        <v>330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323</v>
      </c>
      <c r="N1" s="3" t="s">
        <v>13</v>
      </c>
      <c r="O1" s="3" t="s">
        <v>14</v>
      </c>
      <c r="P1" s="3" t="s">
        <v>15</v>
      </c>
      <c r="Q1" s="14" t="s">
        <v>21</v>
      </c>
      <c r="R1" s="14" t="s">
        <v>22</v>
      </c>
      <c r="S1" s="3" t="s">
        <v>23</v>
      </c>
      <c r="T1" s="3" t="s">
        <v>24</v>
      </c>
      <c r="U1" s="3" t="s">
        <v>25</v>
      </c>
    </row>
    <row r="2" spans="1:21" s="73" customFormat="1">
      <c r="A2" s="16" t="s">
        <v>331</v>
      </c>
      <c r="B2" s="35" t="s">
        <v>332</v>
      </c>
      <c r="C2" s="35" t="s">
        <v>332</v>
      </c>
      <c r="D2" s="35" t="s">
        <v>332</v>
      </c>
      <c r="E2" s="35" t="s">
        <v>332</v>
      </c>
      <c r="F2" s="35" t="s">
        <v>332</v>
      </c>
      <c r="G2" s="35" t="s">
        <v>332</v>
      </c>
      <c r="H2" s="35" t="s">
        <v>332</v>
      </c>
      <c r="I2" s="35" t="s">
        <v>332</v>
      </c>
      <c r="J2" s="35" t="s">
        <v>332</v>
      </c>
      <c r="K2" s="35" t="s">
        <v>332</v>
      </c>
      <c r="L2" s="35" t="s">
        <v>332</v>
      </c>
      <c r="M2" s="35" t="s">
        <v>332</v>
      </c>
      <c r="N2" s="35"/>
      <c r="O2" s="34"/>
      <c r="P2" s="34"/>
      <c r="Q2" s="34"/>
      <c r="R2" s="34"/>
      <c r="S2" s="34"/>
      <c r="T2" s="34"/>
      <c r="U2" s="34"/>
    </row>
    <row r="3" spans="1:21">
      <c r="A3" t="s">
        <v>333</v>
      </c>
      <c r="B3" s="2" t="s">
        <v>27</v>
      </c>
      <c r="C3" s="2" t="s">
        <v>27</v>
      </c>
      <c r="D3" s="2" t="s">
        <v>27</v>
      </c>
      <c r="E3" s="2" t="s">
        <v>27</v>
      </c>
      <c r="F3" s="5" t="s">
        <v>33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27</v>
      </c>
      <c r="M3" s="2" t="s">
        <v>27</v>
      </c>
      <c r="N3" s="2" t="s">
        <v>27</v>
      </c>
      <c r="O3" s="2">
        <f>COUNTIF(B3:N3,"✔")</f>
        <v>12</v>
      </c>
      <c r="P3" s="1">
        <f>O3/13</f>
        <v>0.92307692307692313</v>
      </c>
      <c r="Q3" s="25" t="s">
        <v>34</v>
      </c>
      <c r="R3" s="25" t="s">
        <v>37</v>
      </c>
      <c r="S3" s="25" t="s">
        <v>695</v>
      </c>
      <c r="T3" s="25" t="s">
        <v>334</v>
      </c>
      <c r="U3" s="25" t="s">
        <v>335</v>
      </c>
    </row>
    <row r="4" spans="1:21">
      <c r="A4" t="s">
        <v>336</v>
      </c>
      <c r="B4" s="2" t="s">
        <v>27</v>
      </c>
      <c r="C4" s="2" t="s">
        <v>27</v>
      </c>
      <c r="D4" s="2" t="s">
        <v>27</v>
      </c>
      <c r="E4" s="2" t="s">
        <v>27</v>
      </c>
      <c r="F4" s="5" t="s">
        <v>33</v>
      </c>
      <c r="G4" s="2" t="s">
        <v>27</v>
      </c>
      <c r="H4" s="5" t="s">
        <v>33</v>
      </c>
      <c r="I4" s="2" t="s">
        <v>27</v>
      </c>
      <c r="J4" s="2" t="s">
        <v>27</v>
      </c>
      <c r="K4" s="2" t="s">
        <v>27</v>
      </c>
      <c r="L4" s="2" t="s">
        <v>27</v>
      </c>
      <c r="M4" s="2" t="s">
        <v>27</v>
      </c>
      <c r="N4" s="2" t="s">
        <v>27</v>
      </c>
      <c r="O4" s="2">
        <f t="shared" ref="O4:O28" si="0">COUNTIF(B4:N4,"✔")</f>
        <v>11</v>
      </c>
      <c r="P4" s="1">
        <f t="shared" ref="P4:P7" si="1">O4/13</f>
        <v>0.84615384615384615</v>
      </c>
      <c r="Q4" s="25" t="s">
        <v>34</v>
      </c>
      <c r="R4" s="25" t="s">
        <v>37</v>
      </c>
      <c r="S4" s="25" t="s">
        <v>695</v>
      </c>
      <c r="T4" s="25" t="s">
        <v>334</v>
      </c>
      <c r="U4" s="25" t="s">
        <v>335</v>
      </c>
    </row>
    <row r="5" spans="1:21">
      <c r="A5" t="s">
        <v>337</v>
      </c>
      <c r="B5" s="2" t="s">
        <v>27</v>
      </c>
      <c r="C5" s="5" t="s">
        <v>33</v>
      </c>
      <c r="D5" s="2" t="s">
        <v>27</v>
      </c>
      <c r="E5" s="5" t="s">
        <v>33</v>
      </c>
      <c r="F5" s="2" t="s">
        <v>27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27</v>
      </c>
      <c r="M5" s="5" t="s">
        <v>33</v>
      </c>
      <c r="N5" s="5" t="s">
        <v>33</v>
      </c>
      <c r="O5" s="2">
        <f t="shared" si="0"/>
        <v>9</v>
      </c>
      <c r="P5" s="1">
        <f t="shared" si="1"/>
        <v>0.69230769230769229</v>
      </c>
      <c r="Q5" s="25" t="s">
        <v>34</v>
      </c>
      <c r="R5" s="25" t="s">
        <v>37</v>
      </c>
      <c r="S5" s="25" t="s">
        <v>695</v>
      </c>
      <c r="T5" s="25" t="s">
        <v>334</v>
      </c>
      <c r="U5" s="25" t="s">
        <v>335</v>
      </c>
    </row>
    <row r="6" spans="1:21">
      <c r="A6" t="s">
        <v>338</v>
      </c>
      <c r="B6" s="2" t="s">
        <v>27</v>
      </c>
      <c r="C6" s="5" t="s">
        <v>33</v>
      </c>
      <c r="D6" s="2" t="s">
        <v>27</v>
      </c>
      <c r="E6" s="2" t="s">
        <v>27</v>
      </c>
      <c r="F6" s="5" t="s">
        <v>33</v>
      </c>
      <c r="G6" s="2" t="s">
        <v>27</v>
      </c>
      <c r="H6" s="5" t="s">
        <v>33</v>
      </c>
      <c r="I6" s="5" t="s">
        <v>33</v>
      </c>
      <c r="J6" s="2" t="s">
        <v>27</v>
      </c>
      <c r="K6" s="2" t="s">
        <v>27</v>
      </c>
      <c r="L6" s="2" t="s">
        <v>27</v>
      </c>
      <c r="M6" s="5" t="s">
        <v>33</v>
      </c>
      <c r="N6" s="5" t="s">
        <v>33</v>
      </c>
      <c r="O6" s="2">
        <f t="shared" si="0"/>
        <v>7</v>
      </c>
      <c r="P6" s="1">
        <f t="shared" si="1"/>
        <v>0.53846153846153844</v>
      </c>
      <c r="Q6" s="25" t="s">
        <v>34</v>
      </c>
      <c r="R6" s="25" t="s">
        <v>37</v>
      </c>
      <c r="S6" s="25" t="s">
        <v>695</v>
      </c>
      <c r="T6" s="25" t="s">
        <v>334</v>
      </c>
      <c r="U6" s="25" t="s">
        <v>335</v>
      </c>
    </row>
    <row r="7" spans="1:21">
      <c r="A7" t="s">
        <v>339</v>
      </c>
      <c r="B7" s="2" t="s">
        <v>27</v>
      </c>
      <c r="C7" s="5" t="s">
        <v>33</v>
      </c>
      <c r="D7" s="2" t="s">
        <v>27</v>
      </c>
      <c r="E7" s="5" t="s">
        <v>33</v>
      </c>
      <c r="F7" s="5" t="s">
        <v>33</v>
      </c>
      <c r="G7" s="2" t="s">
        <v>27</v>
      </c>
      <c r="H7" s="2" t="s">
        <v>27</v>
      </c>
      <c r="I7" s="5" t="s">
        <v>33</v>
      </c>
      <c r="J7" s="2" t="s">
        <v>27</v>
      </c>
      <c r="K7" s="2" t="s">
        <v>27</v>
      </c>
      <c r="L7" s="2" t="s">
        <v>27</v>
      </c>
      <c r="M7" s="5" t="s">
        <v>33</v>
      </c>
      <c r="N7" s="2" t="s">
        <v>27</v>
      </c>
      <c r="O7" s="2">
        <f t="shared" si="0"/>
        <v>8</v>
      </c>
      <c r="P7" s="1">
        <f t="shared" si="1"/>
        <v>0.61538461538461542</v>
      </c>
      <c r="Q7" s="25" t="s">
        <v>34</v>
      </c>
      <c r="R7" s="25" t="s">
        <v>37</v>
      </c>
      <c r="S7" s="25" t="s">
        <v>695</v>
      </c>
      <c r="T7" s="25" t="s">
        <v>334</v>
      </c>
      <c r="U7" s="25" t="s">
        <v>335</v>
      </c>
    </row>
    <row r="8" spans="1:21" s="73" customFormat="1">
      <c r="A8" s="16" t="s">
        <v>340</v>
      </c>
      <c r="B8" s="35" t="s">
        <v>332</v>
      </c>
      <c r="C8" s="35" t="s">
        <v>332</v>
      </c>
      <c r="D8" s="35" t="s">
        <v>332</v>
      </c>
      <c r="E8" s="35" t="s">
        <v>332</v>
      </c>
      <c r="F8" s="35" t="s">
        <v>332</v>
      </c>
      <c r="G8" s="35" t="s">
        <v>332</v>
      </c>
      <c r="H8" s="35" t="s">
        <v>332</v>
      </c>
      <c r="I8" s="35" t="s">
        <v>332</v>
      </c>
      <c r="J8" s="35" t="s">
        <v>332</v>
      </c>
      <c r="K8" s="35" t="s">
        <v>332</v>
      </c>
      <c r="L8" s="35" t="s">
        <v>332</v>
      </c>
      <c r="M8" s="35"/>
      <c r="N8" s="35" t="s">
        <v>332</v>
      </c>
      <c r="O8" s="35"/>
      <c r="P8" s="19"/>
      <c r="Q8" s="34"/>
      <c r="R8" s="34"/>
      <c r="S8" s="34"/>
      <c r="T8" s="34"/>
      <c r="U8" s="34"/>
    </row>
    <row r="9" spans="1:21">
      <c r="A9" t="s">
        <v>341</v>
      </c>
      <c r="B9" s="2" t="s">
        <v>27</v>
      </c>
      <c r="C9" s="2" t="s">
        <v>27</v>
      </c>
      <c r="D9" s="2" t="s">
        <v>27</v>
      </c>
      <c r="E9" s="5" t="s">
        <v>33</v>
      </c>
      <c r="F9" s="2" t="s">
        <v>27</v>
      </c>
      <c r="G9" s="2" t="s">
        <v>27</v>
      </c>
      <c r="H9" s="5" t="s">
        <v>33</v>
      </c>
      <c r="I9" s="5" t="s">
        <v>33</v>
      </c>
      <c r="J9" s="2" t="s">
        <v>27</v>
      </c>
      <c r="K9" s="2" t="s">
        <v>27</v>
      </c>
      <c r="L9" s="2" t="s">
        <v>27</v>
      </c>
      <c r="M9" s="5" t="s">
        <v>33</v>
      </c>
      <c r="N9" s="2" t="s">
        <v>27</v>
      </c>
      <c r="O9" s="2">
        <f t="shared" si="0"/>
        <v>9</v>
      </c>
      <c r="P9" s="1">
        <f>O9/13</f>
        <v>0.69230769230769229</v>
      </c>
      <c r="Q9" s="25" t="s">
        <v>34</v>
      </c>
      <c r="R9" s="25" t="s">
        <v>37</v>
      </c>
      <c r="S9" s="25" t="s">
        <v>695</v>
      </c>
      <c r="T9" s="25" t="s">
        <v>334</v>
      </c>
      <c r="U9" s="25" t="s">
        <v>335</v>
      </c>
    </row>
    <row r="10" spans="1:21">
      <c r="A10" t="s">
        <v>342</v>
      </c>
      <c r="B10" s="2" t="s">
        <v>27</v>
      </c>
      <c r="C10" s="5" t="s">
        <v>33</v>
      </c>
      <c r="D10" s="2" t="s">
        <v>27</v>
      </c>
      <c r="E10" s="5" t="s">
        <v>33</v>
      </c>
      <c r="F10" s="5" t="s">
        <v>33</v>
      </c>
      <c r="G10" s="2" t="s">
        <v>27</v>
      </c>
      <c r="H10" s="5" t="s">
        <v>33</v>
      </c>
      <c r="I10" s="5" t="s">
        <v>33</v>
      </c>
      <c r="J10" s="2" t="s">
        <v>27</v>
      </c>
      <c r="K10" s="2" t="s">
        <v>27</v>
      </c>
      <c r="L10" s="2" t="s">
        <v>27</v>
      </c>
      <c r="M10" s="5" t="s">
        <v>33</v>
      </c>
      <c r="N10" s="2" t="s">
        <v>27</v>
      </c>
      <c r="O10" s="2">
        <f t="shared" si="0"/>
        <v>7</v>
      </c>
      <c r="P10" s="1">
        <f t="shared" ref="P10:P13" si="2">O10/13</f>
        <v>0.53846153846153844</v>
      </c>
      <c r="Q10" s="25" t="s">
        <v>34</v>
      </c>
      <c r="R10" s="25" t="s">
        <v>37</v>
      </c>
      <c r="S10" s="25" t="s">
        <v>695</v>
      </c>
      <c r="T10" s="25" t="s">
        <v>334</v>
      </c>
      <c r="U10" s="25" t="s">
        <v>335</v>
      </c>
    </row>
    <row r="11" spans="1:21">
      <c r="B11" s="2"/>
      <c r="C11" s="5"/>
      <c r="D11" s="2"/>
      <c r="E11" s="5"/>
      <c r="F11" s="5"/>
      <c r="G11" s="2"/>
      <c r="H11" s="5"/>
      <c r="I11" s="5"/>
      <c r="J11" s="2"/>
      <c r="K11" s="2"/>
      <c r="L11" s="2"/>
      <c r="M11" s="5"/>
      <c r="N11" s="2"/>
      <c r="O11" s="2"/>
      <c r="P11" s="1"/>
      <c r="Q11" s="25" t="s">
        <v>34</v>
      </c>
      <c r="R11" s="25" t="s">
        <v>37</v>
      </c>
      <c r="S11" s="25" t="s">
        <v>690</v>
      </c>
      <c r="T11" s="25" t="s">
        <v>204</v>
      </c>
      <c r="U11" s="25" t="s">
        <v>158</v>
      </c>
    </row>
    <row r="12" spans="1:21">
      <c r="A12" t="s">
        <v>343</v>
      </c>
      <c r="B12" s="2" t="s">
        <v>27</v>
      </c>
      <c r="C12" s="5" t="s">
        <v>33</v>
      </c>
      <c r="D12" s="2" t="s">
        <v>27</v>
      </c>
      <c r="E12" s="5" t="s">
        <v>33</v>
      </c>
      <c r="F12" s="5" t="s">
        <v>33</v>
      </c>
      <c r="G12" s="2" t="s">
        <v>27</v>
      </c>
      <c r="H12" s="5" t="s">
        <v>33</v>
      </c>
      <c r="I12" s="5" t="s">
        <v>33</v>
      </c>
      <c r="J12" s="2" t="s">
        <v>27</v>
      </c>
      <c r="K12" s="2" t="s">
        <v>27</v>
      </c>
      <c r="L12" s="2" t="s">
        <v>27</v>
      </c>
      <c r="M12" s="5" t="s">
        <v>33</v>
      </c>
      <c r="N12" s="2" t="s">
        <v>27</v>
      </c>
      <c r="O12" s="2">
        <f t="shared" si="0"/>
        <v>7</v>
      </c>
      <c r="P12" s="1">
        <f t="shared" si="2"/>
        <v>0.53846153846153844</v>
      </c>
      <c r="Q12" s="25" t="s">
        <v>34</v>
      </c>
      <c r="R12" s="25" t="s">
        <v>37</v>
      </c>
      <c r="S12" s="25" t="s">
        <v>695</v>
      </c>
      <c r="T12" s="25" t="s">
        <v>334</v>
      </c>
      <c r="U12" s="25" t="s">
        <v>335</v>
      </c>
    </row>
    <row r="13" spans="1:21">
      <c r="A13" t="s">
        <v>344</v>
      </c>
      <c r="B13" s="2" t="s">
        <v>27</v>
      </c>
      <c r="C13" s="5" t="s">
        <v>33</v>
      </c>
      <c r="D13" s="2" t="s">
        <v>27</v>
      </c>
      <c r="E13" s="5" t="s">
        <v>33</v>
      </c>
      <c r="F13" s="5" t="s">
        <v>33</v>
      </c>
      <c r="G13" s="2" t="s">
        <v>27</v>
      </c>
      <c r="H13" s="5" t="s">
        <v>33</v>
      </c>
      <c r="I13" s="5" t="s">
        <v>33</v>
      </c>
      <c r="J13" s="2" t="s">
        <v>27</v>
      </c>
      <c r="K13" s="2" t="s">
        <v>27</v>
      </c>
      <c r="L13" s="2" t="s">
        <v>27</v>
      </c>
      <c r="M13" s="5" t="s">
        <v>33</v>
      </c>
      <c r="N13" s="2" t="s">
        <v>27</v>
      </c>
      <c r="O13" s="2">
        <f t="shared" si="0"/>
        <v>7</v>
      </c>
      <c r="P13" s="1">
        <f t="shared" si="2"/>
        <v>0.53846153846153844</v>
      </c>
      <c r="Q13" s="25" t="s">
        <v>34</v>
      </c>
      <c r="R13" s="25" t="s">
        <v>37</v>
      </c>
      <c r="S13" s="25" t="s">
        <v>696</v>
      </c>
      <c r="T13" s="25" t="s">
        <v>157</v>
      </c>
      <c r="U13" s="25" t="s">
        <v>158</v>
      </c>
    </row>
    <row r="14" spans="1:21">
      <c r="B14" s="2"/>
      <c r="C14" s="5"/>
      <c r="D14" s="2"/>
      <c r="E14" s="5"/>
      <c r="F14" s="5"/>
      <c r="G14" s="2"/>
      <c r="H14" s="5"/>
      <c r="I14" s="5"/>
      <c r="J14" s="2"/>
      <c r="K14" s="2"/>
      <c r="L14" s="2"/>
      <c r="M14" s="5"/>
      <c r="N14" s="2"/>
      <c r="O14" s="2"/>
      <c r="P14" s="1"/>
      <c r="Q14" s="25" t="s">
        <v>34</v>
      </c>
      <c r="R14" s="25" t="s">
        <v>37</v>
      </c>
      <c r="S14" s="25" t="s">
        <v>690</v>
      </c>
      <c r="T14" s="25" t="s">
        <v>204</v>
      </c>
      <c r="U14" s="25" t="s">
        <v>158</v>
      </c>
    </row>
    <row r="15" spans="1:21">
      <c r="A15" t="s">
        <v>345</v>
      </c>
      <c r="B15" s="5" t="s">
        <v>33</v>
      </c>
      <c r="C15" s="5" t="s">
        <v>33</v>
      </c>
      <c r="D15" s="5" t="s">
        <v>33</v>
      </c>
      <c r="E15" s="5" t="s">
        <v>33</v>
      </c>
      <c r="F15" s="5" t="s">
        <v>33</v>
      </c>
      <c r="G15" s="2" t="s">
        <v>27</v>
      </c>
      <c r="H15" s="5" t="s">
        <v>33</v>
      </c>
      <c r="I15" s="5" t="s">
        <v>33</v>
      </c>
      <c r="J15" s="5" t="s">
        <v>33</v>
      </c>
      <c r="K15" s="2" t="s">
        <v>27</v>
      </c>
      <c r="L15" s="5" t="s">
        <v>33</v>
      </c>
      <c r="M15" s="5" t="s">
        <v>33</v>
      </c>
      <c r="N15" s="2" t="s">
        <v>27</v>
      </c>
      <c r="O15" s="2">
        <f t="shared" si="0"/>
        <v>3</v>
      </c>
      <c r="P15" s="1">
        <f>O15/13</f>
        <v>0.23076923076923078</v>
      </c>
      <c r="Q15" s="25" t="s">
        <v>34</v>
      </c>
      <c r="R15" s="25" t="s">
        <v>37</v>
      </c>
      <c r="S15" s="25" t="s">
        <v>696</v>
      </c>
      <c r="T15" s="25" t="s">
        <v>157</v>
      </c>
      <c r="U15" s="25" t="s">
        <v>158</v>
      </c>
    </row>
    <row r="16" spans="1:21" s="73" customFormat="1">
      <c r="A16" s="16" t="s">
        <v>346</v>
      </c>
      <c r="B16" s="35" t="s">
        <v>332</v>
      </c>
      <c r="C16" s="35" t="s">
        <v>332</v>
      </c>
      <c r="D16" s="35" t="s">
        <v>332</v>
      </c>
      <c r="E16" s="35" t="s">
        <v>332</v>
      </c>
      <c r="F16" s="35" t="s">
        <v>332</v>
      </c>
      <c r="G16" s="35" t="s">
        <v>332</v>
      </c>
      <c r="H16" s="35" t="s">
        <v>332</v>
      </c>
      <c r="I16" s="35" t="s">
        <v>332</v>
      </c>
      <c r="J16" s="35" t="s">
        <v>332</v>
      </c>
      <c r="K16" s="35" t="s">
        <v>332</v>
      </c>
      <c r="L16" s="35" t="s">
        <v>332</v>
      </c>
      <c r="M16" s="35"/>
      <c r="N16" s="35" t="s">
        <v>332</v>
      </c>
      <c r="O16" s="35"/>
      <c r="P16" s="19"/>
      <c r="Q16" s="34"/>
      <c r="R16" s="34"/>
      <c r="S16" s="34"/>
      <c r="T16" s="34"/>
      <c r="U16" s="34"/>
    </row>
    <row r="17" spans="1:21">
      <c r="A17" t="s">
        <v>347</v>
      </c>
      <c r="B17" s="2" t="s">
        <v>27</v>
      </c>
      <c r="C17" s="5" t="s">
        <v>33</v>
      </c>
      <c r="D17" s="5" t="s">
        <v>33</v>
      </c>
      <c r="E17" s="2" t="s">
        <v>27</v>
      </c>
      <c r="F17" s="5" t="s">
        <v>33</v>
      </c>
      <c r="G17" s="5" t="s">
        <v>33</v>
      </c>
      <c r="H17" s="2" t="s">
        <v>27</v>
      </c>
      <c r="I17" s="5" t="s">
        <v>33</v>
      </c>
      <c r="J17" s="5" t="s">
        <v>33</v>
      </c>
      <c r="K17" s="2" t="s">
        <v>27</v>
      </c>
      <c r="L17" s="2" t="s">
        <v>27</v>
      </c>
      <c r="M17" s="5" t="s">
        <v>33</v>
      </c>
      <c r="N17" s="5" t="s">
        <v>33</v>
      </c>
      <c r="O17" s="2">
        <f t="shared" si="0"/>
        <v>5</v>
      </c>
      <c r="P17" s="1">
        <f>O17/13</f>
        <v>0.38461538461538464</v>
      </c>
      <c r="Q17" s="25" t="s">
        <v>28</v>
      </c>
      <c r="R17" s="25" t="s">
        <v>37</v>
      </c>
      <c r="S17" s="25" t="s">
        <v>695</v>
      </c>
      <c r="T17" s="25" t="s">
        <v>348</v>
      </c>
      <c r="U17" s="25" t="s">
        <v>349</v>
      </c>
    </row>
    <row r="18" spans="1:21">
      <c r="B18" s="2"/>
      <c r="C18" s="5"/>
      <c r="D18" s="5"/>
      <c r="E18" s="2"/>
      <c r="F18" s="5"/>
      <c r="G18" s="5"/>
      <c r="H18" s="2"/>
      <c r="I18" s="5"/>
      <c r="J18" s="5"/>
      <c r="K18" s="5"/>
      <c r="L18" s="2"/>
      <c r="M18" s="5"/>
      <c r="N18" s="5"/>
      <c r="O18" s="2"/>
      <c r="P18" s="1"/>
      <c r="Q18" s="25" t="s">
        <v>34</v>
      </c>
      <c r="R18" s="25" t="s">
        <v>37</v>
      </c>
      <c r="S18" s="25" t="s">
        <v>695</v>
      </c>
      <c r="T18" s="25" t="s">
        <v>350</v>
      </c>
      <c r="U18" s="25" t="s">
        <v>351</v>
      </c>
    </row>
    <row r="19" spans="1:21">
      <c r="A19" t="s">
        <v>352</v>
      </c>
      <c r="B19" s="2" t="s">
        <v>27</v>
      </c>
      <c r="C19" s="5" t="s">
        <v>33</v>
      </c>
      <c r="D19" s="5" t="s">
        <v>33</v>
      </c>
      <c r="E19" s="2" t="s">
        <v>27</v>
      </c>
      <c r="F19" s="5" t="s">
        <v>33</v>
      </c>
      <c r="G19" s="5" t="s">
        <v>33</v>
      </c>
      <c r="H19" s="5" t="s">
        <v>33</v>
      </c>
      <c r="I19" s="5" t="s">
        <v>33</v>
      </c>
      <c r="J19" s="5" t="s">
        <v>33</v>
      </c>
      <c r="K19" s="5" t="s">
        <v>33</v>
      </c>
      <c r="L19" s="5" t="s">
        <v>33</v>
      </c>
      <c r="M19" s="5" t="s">
        <v>33</v>
      </c>
      <c r="N19" s="2" t="s">
        <v>27</v>
      </c>
      <c r="O19" s="2">
        <f t="shared" si="0"/>
        <v>3</v>
      </c>
      <c r="P19" s="1">
        <f t="shared" ref="P19:P21" si="3">O19/13</f>
        <v>0.23076923076923078</v>
      </c>
      <c r="Q19" s="25" t="s">
        <v>28</v>
      </c>
      <c r="R19" s="25" t="s">
        <v>37</v>
      </c>
      <c r="S19" s="25" t="s">
        <v>695</v>
      </c>
      <c r="T19" s="25" t="s">
        <v>353</v>
      </c>
      <c r="U19" s="25" t="s">
        <v>354</v>
      </c>
    </row>
    <row r="20" spans="1:21">
      <c r="B20" s="2"/>
      <c r="C20" s="5"/>
      <c r="D20" s="5"/>
      <c r="E20" s="2"/>
      <c r="F20" s="5"/>
      <c r="G20" s="5"/>
      <c r="H20" s="5"/>
      <c r="I20" s="5"/>
      <c r="J20" s="5"/>
      <c r="K20" s="2"/>
      <c r="L20" s="5"/>
      <c r="M20" s="5"/>
      <c r="N20" s="2"/>
      <c r="O20" s="2"/>
      <c r="P20" s="1"/>
      <c r="Q20" s="25" t="s">
        <v>28</v>
      </c>
      <c r="R20" s="25" t="s">
        <v>37</v>
      </c>
      <c r="S20" s="25" t="s">
        <v>695</v>
      </c>
      <c r="T20" s="25" t="s">
        <v>355</v>
      </c>
      <c r="U20" s="25" t="s">
        <v>354</v>
      </c>
    </row>
    <row r="21" spans="1:21">
      <c r="A21" t="s">
        <v>356</v>
      </c>
      <c r="B21" s="2" t="s">
        <v>27</v>
      </c>
      <c r="C21" s="5" t="s">
        <v>33</v>
      </c>
      <c r="D21" s="5" t="s">
        <v>33</v>
      </c>
      <c r="E21" s="2" t="s">
        <v>27</v>
      </c>
      <c r="F21" s="5" t="s">
        <v>33</v>
      </c>
      <c r="G21" s="5" t="s">
        <v>33</v>
      </c>
      <c r="H21" s="2" t="s">
        <v>27</v>
      </c>
      <c r="I21" s="5" t="s">
        <v>33</v>
      </c>
      <c r="J21" s="5" t="s">
        <v>33</v>
      </c>
      <c r="K21" s="5" t="s">
        <v>33</v>
      </c>
      <c r="L21" s="5" t="s">
        <v>33</v>
      </c>
      <c r="M21" s="5" t="s">
        <v>33</v>
      </c>
      <c r="N21" s="5" t="s">
        <v>33</v>
      </c>
      <c r="O21" s="2">
        <f t="shared" si="0"/>
        <v>3</v>
      </c>
      <c r="P21" s="1">
        <f t="shared" si="3"/>
        <v>0.23076923076923078</v>
      </c>
      <c r="Q21" s="25" t="s">
        <v>34</v>
      </c>
      <c r="R21" s="25" t="s">
        <v>37</v>
      </c>
      <c r="S21" s="25" t="s">
        <v>695</v>
      </c>
      <c r="T21" s="25" t="s">
        <v>350</v>
      </c>
      <c r="U21" s="25" t="s">
        <v>351</v>
      </c>
    </row>
    <row r="22" spans="1:21" s="73" customFormat="1">
      <c r="A22" s="16" t="s">
        <v>357</v>
      </c>
      <c r="B22" s="35" t="s">
        <v>332</v>
      </c>
      <c r="C22" s="35" t="s">
        <v>332</v>
      </c>
      <c r="D22" s="35" t="s">
        <v>332</v>
      </c>
      <c r="E22" s="35" t="s">
        <v>332</v>
      </c>
      <c r="F22" s="35" t="s">
        <v>332</v>
      </c>
      <c r="G22" s="35" t="s">
        <v>332</v>
      </c>
      <c r="H22" s="35" t="s">
        <v>332</v>
      </c>
      <c r="I22" s="35" t="s">
        <v>332</v>
      </c>
      <c r="J22" s="35" t="s">
        <v>332</v>
      </c>
      <c r="K22" s="35" t="s">
        <v>332</v>
      </c>
      <c r="L22" s="35" t="s">
        <v>332</v>
      </c>
      <c r="M22" s="35"/>
      <c r="N22" s="35" t="s">
        <v>332</v>
      </c>
      <c r="O22" s="35"/>
      <c r="P22" s="19"/>
      <c r="Q22" s="34"/>
      <c r="R22" s="34"/>
      <c r="S22" s="34"/>
      <c r="T22" s="34"/>
      <c r="U22" s="34"/>
    </row>
    <row r="23" spans="1:21">
      <c r="A23" t="s">
        <v>358</v>
      </c>
      <c r="B23" s="2" t="s">
        <v>27</v>
      </c>
      <c r="C23" s="2" t="s">
        <v>27</v>
      </c>
      <c r="D23" s="2" t="s">
        <v>27</v>
      </c>
      <c r="E23" s="2" t="s">
        <v>27</v>
      </c>
      <c r="F23" s="2" t="s">
        <v>27</v>
      </c>
      <c r="G23" s="2" t="s">
        <v>27</v>
      </c>
      <c r="H23" s="5" t="s">
        <v>33</v>
      </c>
      <c r="I23" s="5" t="s">
        <v>33</v>
      </c>
      <c r="J23" s="2" t="s">
        <v>27</v>
      </c>
      <c r="K23" s="5" t="s">
        <v>33</v>
      </c>
      <c r="L23" s="2" t="s">
        <v>27</v>
      </c>
      <c r="M23" s="5" t="s">
        <v>33</v>
      </c>
      <c r="N23" s="2" t="s">
        <v>27</v>
      </c>
      <c r="O23" s="2">
        <f t="shared" si="0"/>
        <v>9</v>
      </c>
      <c r="P23" s="1">
        <f>O23/13</f>
        <v>0.69230769230769229</v>
      </c>
      <c r="Q23" s="25" t="s">
        <v>34</v>
      </c>
      <c r="R23" s="25" t="s">
        <v>37</v>
      </c>
      <c r="S23" s="25" t="s">
        <v>695</v>
      </c>
      <c r="T23" s="25" t="s">
        <v>359</v>
      </c>
      <c r="U23" s="25" t="s">
        <v>360</v>
      </c>
    </row>
    <row r="24" spans="1:21">
      <c r="A24" t="s">
        <v>361</v>
      </c>
      <c r="B24" s="2" t="s">
        <v>27</v>
      </c>
      <c r="C24" s="2" t="s">
        <v>27</v>
      </c>
      <c r="D24" s="5" t="s">
        <v>33</v>
      </c>
      <c r="E24" s="5" t="s">
        <v>33</v>
      </c>
      <c r="F24" s="2" t="s">
        <v>27</v>
      </c>
      <c r="G24" s="5" t="s">
        <v>33</v>
      </c>
      <c r="H24" s="2" t="s">
        <v>27</v>
      </c>
      <c r="I24" s="5" t="s">
        <v>33</v>
      </c>
      <c r="J24" s="5" t="s">
        <v>33</v>
      </c>
      <c r="K24" s="5" t="s">
        <v>33</v>
      </c>
      <c r="L24" s="2" t="s">
        <v>27</v>
      </c>
      <c r="M24" s="5" t="s">
        <v>33</v>
      </c>
      <c r="N24" s="5" t="s">
        <v>33</v>
      </c>
      <c r="O24" s="2">
        <f t="shared" si="0"/>
        <v>5</v>
      </c>
      <c r="P24" s="1">
        <f t="shared" ref="P24:P26" si="4">O24/13</f>
        <v>0.38461538461538464</v>
      </c>
      <c r="Q24" s="25" t="s">
        <v>34</v>
      </c>
      <c r="R24" s="25" t="s">
        <v>37</v>
      </c>
      <c r="S24" s="25" t="s">
        <v>695</v>
      </c>
      <c r="T24" s="25" t="s">
        <v>359</v>
      </c>
      <c r="U24" s="25" t="s">
        <v>360</v>
      </c>
    </row>
    <row r="25" spans="1:21">
      <c r="A25" t="s">
        <v>362</v>
      </c>
      <c r="B25" s="5" t="s">
        <v>33</v>
      </c>
      <c r="C25" s="5" t="s">
        <v>33</v>
      </c>
      <c r="D25" s="5" t="s">
        <v>33</v>
      </c>
      <c r="E25" s="2" t="s">
        <v>27</v>
      </c>
      <c r="F25" s="5" t="s">
        <v>33</v>
      </c>
      <c r="G25" s="5" t="s">
        <v>33</v>
      </c>
      <c r="H25" s="2" t="s">
        <v>27</v>
      </c>
      <c r="I25" s="5" t="s">
        <v>33</v>
      </c>
      <c r="J25" s="2" t="s">
        <v>27</v>
      </c>
      <c r="K25" s="5" t="s">
        <v>33</v>
      </c>
      <c r="L25" s="2" t="s">
        <v>27</v>
      </c>
      <c r="M25" s="5" t="s">
        <v>33</v>
      </c>
      <c r="N25" s="2" t="s">
        <v>27</v>
      </c>
      <c r="O25" s="2">
        <f t="shared" si="0"/>
        <v>5</v>
      </c>
      <c r="P25" s="1">
        <f t="shared" si="4"/>
        <v>0.38461538461538464</v>
      </c>
      <c r="Q25" s="25" t="s">
        <v>34</v>
      </c>
      <c r="R25" s="25" t="s">
        <v>37</v>
      </c>
      <c r="S25" s="25" t="s">
        <v>695</v>
      </c>
      <c r="T25" s="25" t="s">
        <v>359</v>
      </c>
      <c r="U25" s="25" t="s">
        <v>360</v>
      </c>
    </row>
    <row r="26" spans="1:21">
      <c r="A26" t="s">
        <v>363</v>
      </c>
      <c r="B26" s="5" t="s">
        <v>33</v>
      </c>
      <c r="C26" s="5" t="s">
        <v>33</v>
      </c>
      <c r="D26" s="2" t="s">
        <v>27</v>
      </c>
      <c r="E26" s="5" t="s">
        <v>33</v>
      </c>
      <c r="F26" s="5" t="s">
        <v>33</v>
      </c>
      <c r="G26" s="2" t="s">
        <v>27</v>
      </c>
      <c r="H26" s="5" t="s">
        <v>33</v>
      </c>
      <c r="I26" s="5" t="s">
        <v>33</v>
      </c>
      <c r="J26" s="5" t="s">
        <v>33</v>
      </c>
      <c r="K26" s="5" t="s">
        <v>33</v>
      </c>
      <c r="L26" s="2" t="s">
        <v>27</v>
      </c>
      <c r="M26" s="5" t="s">
        <v>33</v>
      </c>
      <c r="N26" s="5" t="s">
        <v>33</v>
      </c>
      <c r="O26" s="2">
        <f t="shared" si="0"/>
        <v>3</v>
      </c>
      <c r="P26" s="1">
        <f t="shared" si="4"/>
        <v>0.23076923076923078</v>
      </c>
      <c r="Q26" s="25" t="s">
        <v>34</v>
      </c>
      <c r="R26" s="25" t="s">
        <v>37</v>
      </c>
      <c r="S26" s="25" t="s">
        <v>695</v>
      </c>
      <c r="T26" s="25" t="s">
        <v>359</v>
      </c>
      <c r="U26" s="25" t="s">
        <v>360</v>
      </c>
    </row>
    <row r="27" spans="1:21" s="73" customFormat="1">
      <c r="A27" s="16" t="s">
        <v>364</v>
      </c>
      <c r="B27" s="35" t="s">
        <v>332</v>
      </c>
      <c r="C27" s="35" t="s">
        <v>332</v>
      </c>
      <c r="D27" s="35" t="s">
        <v>332</v>
      </c>
      <c r="E27" s="35" t="s">
        <v>332</v>
      </c>
      <c r="F27" s="35" t="s">
        <v>332</v>
      </c>
      <c r="G27" s="35" t="s">
        <v>332</v>
      </c>
      <c r="H27" s="35" t="s">
        <v>332</v>
      </c>
      <c r="I27" s="35" t="s">
        <v>332</v>
      </c>
      <c r="J27" s="35" t="s">
        <v>332</v>
      </c>
      <c r="K27" s="35" t="s">
        <v>332</v>
      </c>
      <c r="L27" s="35" t="s">
        <v>332</v>
      </c>
      <c r="M27" s="35"/>
      <c r="N27" s="35" t="s">
        <v>332</v>
      </c>
      <c r="O27" s="35"/>
      <c r="P27" s="19"/>
      <c r="Q27" s="34"/>
      <c r="R27" s="34"/>
      <c r="S27" s="34"/>
      <c r="T27" s="34"/>
      <c r="U27" s="34"/>
    </row>
    <row r="28" spans="1:21">
      <c r="A28" t="s">
        <v>365</v>
      </c>
      <c r="B28" s="2" t="s">
        <v>27</v>
      </c>
      <c r="C28" s="2" t="s">
        <v>27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2" t="s">
        <v>27</v>
      </c>
      <c r="K28" s="5" t="s">
        <v>33</v>
      </c>
      <c r="L28" s="5" t="s">
        <v>33</v>
      </c>
      <c r="M28" s="5" t="s">
        <v>33</v>
      </c>
      <c r="N28" s="2" t="s">
        <v>27</v>
      </c>
      <c r="O28" s="2">
        <f t="shared" si="0"/>
        <v>4</v>
      </c>
      <c r="P28" s="1">
        <f>O28/13</f>
        <v>0.30769230769230771</v>
      </c>
      <c r="Q28" s="25" t="s">
        <v>34</v>
      </c>
      <c r="R28" s="25" t="s">
        <v>37</v>
      </c>
      <c r="S28" s="25" t="s">
        <v>695</v>
      </c>
      <c r="T28" s="25" t="s">
        <v>334</v>
      </c>
      <c r="U28" s="25" t="s">
        <v>335</v>
      </c>
    </row>
    <row r="29" spans="1:21">
      <c r="B29" s="2"/>
      <c r="C29" s="2"/>
      <c r="D29" s="5"/>
      <c r="E29" s="5"/>
      <c r="F29" s="5"/>
      <c r="G29" s="5"/>
      <c r="H29" s="5"/>
      <c r="I29" s="5"/>
      <c r="J29" s="2"/>
      <c r="K29" s="5"/>
      <c r="L29" s="5"/>
      <c r="M29" s="5"/>
      <c r="N29" s="2"/>
      <c r="O29" s="2"/>
      <c r="P29" s="1"/>
      <c r="Q29" s="25" t="s">
        <v>34</v>
      </c>
      <c r="R29" s="25" t="s">
        <v>37</v>
      </c>
      <c r="S29" s="25" t="s">
        <v>695</v>
      </c>
      <c r="T29" s="25" t="s">
        <v>359</v>
      </c>
      <c r="U29" s="25" t="s">
        <v>360</v>
      </c>
    </row>
    <row r="30" spans="1:21">
      <c r="A30" t="s">
        <v>366</v>
      </c>
      <c r="B30" s="5" t="s">
        <v>33</v>
      </c>
      <c r="C30" s="5" t="s">
        <v>33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2" t="s">
        <v>27</v>
      </c>
      <c r="K30" s="2" t="s">
        <v>27</v>
      </c>
      <c r="L30" s="5" t="s">
        <v>33</v>
      </c>
      <c r="M30" s="5" t="s">
        <v>33</v>
      </c>
      <c r="N30" s="5" t="s">
        <v>33</v>
      </c>
      <c r="O30" s="2">
        <f t="shared" ref="O30" si="5">COUNTIF(B30:N30,"✔")</f>
        <v>2</v>
      </c>
      <c r="P30" s="1">
        <f t="shared" ref="P30" si="6">O30/13</f>
        <v>0.15384615384615385</v>
      </c>
      <c r="Q30" s="25" t="s">
        <v>34</v>
      </c>
      <c r="R30" s="25" t="s">
        <v>37</v>
      </c>
      <c r="S30" s="25" t="s">
        <v>695</v>
      </c>
      <c r="T30" s="25" t="s">
        <v>334</v>
      </c>
      <c r="U30" s="25" t="s">
        <v>335</v>
      </c>
    </row>
    <row r="31" spans="1:21">
      <c r="B31" s="2"/>
      <c r="C31" s="5"/>
      <c r="D31" s="5"/>
      <c r="E31" s="5"/>
      <c r="F31" s="5"/>
      <c r="G31" s="5"/>
      <c r="H31" s="5"/>
      <c r="I31" s="5"/>
      <c r="J31" s="5"/>
      <c r="K31" s="2"/>
      <c r="L31" s="5"/>
      <c r="M31" s="2"/>
      <c r="N31" s="5"/>
      <c r="O31" s="2"/>
      <c r="P31" s="1"/>
      <c r="Q31" s="25" t="s">
        <v>34</v>
      </c>
      <c r="R31" s="25" t="s">
        <v>37</v>
      </c>
      <c r="S31" s="25" t="s">
        <v>695</v>
      </c>
      <c r="T31" s="25" t="s">
        <v>334</v>
      </c>
      <c r="U31" s="25" t="s">
        <v>335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46C3-9407-47CB-A912-4D433D724B1D}">
  <sheetPr codeName="Sheet7"/>
  <dimension ref="A1:U24"/>
  <sheetViews>
    <sheetView zoomScale="70" zoomScaleNormal="70"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S20" sqref="A1:U24"/>
    </sheetView>
  </sheetViews>
  <sheetFormatPr defaultRowHeight="14.6"/>
  <cols>
    <col min="1" max="1" width="50.69140625" customWidth="1"/>
    <col min="2" max="16" width="13.69140625" customWidth="1"/>
    <col min="17" max="17" width="13.3828125" bestFit="1" customWidth="1"/>
    <col min="18" max="18" width="23.53515625" customWidth="1"/>
    <col min="19" max="19" width="17.15234375" bestFit="1" customWidth="1"/>
    <col min="20" max="20" width="18.3046875" bestFit="1" customWidth="1"/>
    <col min="21" max="21" width="18.3046875" customWidth="1"/>
    <col min="22" max="22" width="8.3046875" customWidth="1"/>
  </cols>
  <sheetData>
    <row r="1" spans="1:21" ht="75">
      <c r="A1" s="4" t="s">
        <v>367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368</v>
      </c>
      <c r="N1" s="3" t="s">
        <v>13</v>
      </c>
      <c r="O1" s="3" t="s">
        <v>14</v>
      </c>
      <c r="P1" s="3" t="s">
        <v>15</v>
      </c>
      <c r="Q1" s="14" t="s">
        <v>21</v>
      </c>
      <c r="R1" s="3" t="s">
        <v>22</v>
      </c>
      <c r="S1" s="3" t="s">
        <v>23</v>
      </c>
      <c r="T1" s="3" t="s">
        <v>24</v>
      </c>
      <c r="U1" s="3" t="s">
        <v>25</v>
      </c>
    </row>
    <row r="2" spans="1:21">
      <c r="A2" t="s">
        <v>369</v>
      </c>
      <c r="B2" s="2" t="s">
        <v>27</v>
      </c>
      <c r="C2" s="2" t="s">
        <v>27</v>
      </c>
      <c r="D2" s="2" t="s">
        <v>27</v>
      </c>
      <c r="E2" s="2" t="s">
        <v>27</v>
      </c>
      <c r="F2" s="5" t="s">
        <v>33</v>
      </c>
      <c r="G2" s="2" t="s">
        <v>27</v>
      </c>
      <c r="H2" s="5" t="s">
        <v>33</v>
      </c>
      <c r="I2" s="2" t="s">
        <v>27</v>
      </c>
      <c r="J2" s="2" t="s">
        <v>27</v>
      </c>
      <c r="K2" s="2" t="s">
        <v>27</v>
      </c>
      <c r="L2" s="5" t="s">
        <v>33</v>
      </c>
      <c r="M2" s="5" t="s">
        <v>33</v>
      </c>
      <c r="N2" s="2" t="s">
        <v>27</v>
      </c>
      <c r="O2" s="2">
        <f>COUNTIF(B2:N2,"✔")</f>
        <v>9</v>
      </c>
      <c r="P2" s="51">
        <f>O2/13</f>
        <v>0.69230769230769229</v>
      </c>
      <c r="Q2" s="25" t="s">
        <v>34</v>
      </c>
      <c r="R2" s="49" t="s">
        <v>37</v>
      </c>
      <c r="S2" s="25" t="s">
        <v>123</v>
      </c>
      <c r="T2" t="s">
        <v>31</v>
      </c>
      <c r="U2" t="s">
        <v>31</v>
      </c>
    </row>
    <row r="3" spans="1:21">
      <c r="A3" t="s">
        <v>370</v>
      </c>
      <c r="B3" s="2" t="s">
        <v>27</v>
      </c>
      <c r="C3" s="5" t="s">
        <v>33</v>
      </c>
      <c r="D3" s="2" t="s">
        <v>27</v>
      </c>
      <c r="E3" s="2" t="s">
        <v>27</v>
      </c>
      <c r="F3" s="5" t="s">
        <v>33</v>
      </c>
      <c r="G3" s="2" t="s">
        <v>27</v>
      </c>
      <c r="H3" s="5" t="s">
        <v>33</v>
      </c>
      <c r="I3" s="2" t="s">
        <v>27</v>
      </c>
      <c r="J3" s="2" t="s">
        <v>27</v>
      </c>
      <c r="K3" s="2" t="s">
        <v>27</v>
      </c>
      <c r="L3" s="5" t="s">
        <v>33</v>
      </c>
      <c r="M3" s="5" t="s">
        <v>33</v>
      </c>
      <c r="N3" s="5" t="s">
        <v>33</v>
      </c>
      <c r="O3" s="2">
        <f>COUNTIF(B3:N3,"✔")</f>
        <v>7</v>
      </c>
      <c r="P3" s="51">
        <f t="shared" ref="P3:P24" si="0">O3/13</f>
        <v>0.53846153846153844</v>
      </c>
      <c r="Q3" s="25" t="s">
        <v>34</v>
      </c>
      <c r="R3" s="49" t="s">
        <v>37</v>
      </c>
      <c r="S3" s="25" t="s">
        <v>371</v>
      </c>
      <c r="T3" s="25" t="s">
        <v>372</v>
      </c>
      <c r="U3" s="25" t="s">
        <v>83</v>
      </c>
    </row>
    <row r="4" spans="1:21">
      <c r="B4" s="2"/>
      <c r="C4" s="5"/>
      <c r="D4" s="2"/>
      <c r="E4" s="2"/>
      <c r="F4" s="5"/>
      <c r="G4" s="2"/>
      <c r="H4" s="5"/>
      <c r="I4" s="2"/>
      <c r="J4" s="2"/>
      <c r="K4" s="2"/>
      <c r="L4" s="5"/>
      <c r="M4" s="5"/>
      <c r="N4" s="5"/>
      <c r="O4" s="2"/>
      <c r="P4" s="51"/>
      <c r="Q4" s="25" t="s">
        <v>34</v>
      </c>
      <c r="R4" s="49" t="s">
        <v>37</v>
      </c>
      <c r="S4" s="25" t="s">
        <v>371</v>
      </c>
      <c r="T4" s="25" t="s">
        <v>124</v>
      </c>
      <c r="U4" s="25" t="s">
        <v>373</v>
      </c>
    </row>
    <row r="5" spans="1:21">
      <c r="B5" s="2"/>
      <c r="C5" s="5"/>
      <c r="D5" s="2"/>
      <c r="E5" s="2"/>
      <c r="F5" s="5"/>
      <c r="G5" s="2"/>
      <c r="H5" s="5"/>
      <c r="I5" s="2"/>
      <c r="J5" s="2"/>
      <c r="K5" s="2"/>
      <c r="L5" s="5"/>
      <c r="M5" s="5"/>
      <c r="N5" s="5"/>
      <c r="O5" s="2"/>
      <c r="P5" s="51"/>
      <c r="Q5" s="25" t="s">
        <v>34</v>
      </c>
      <c r="R5" s="49" t="s">
        <v>37</v>
      </c>
      <c r="S5" s="25" t="s">
        <v>371</v>
      </c>
      <c r="T5" s="25" t="s">
        <v>674</v>
      </c>
      <c r="U5" s="25" t="s">
        <v>374</v>
      </c>
    </row>
    <row r="6" spans="1:21">
      <c r="A6" t="s">
        <v>375</v>
      </c>
      <c r="B6" s="2" t="s">
        <v>27</v>
      </c>
      <c r="C6" s="2" t="s">
        <v>27</v>
      </c>
      <c r="D6" s="5" t="s">
        <v>33</v>
      </c>
      <c r="E6" s="2" t="s">
        <v>27</v>
      </c>
      <c r="F6" s="5" t="s">
        <v>33</v>
      </c>
      <c r="G6" s="2" t="s">
        <v>27</v>
      </c>
      <c r="H6" s="5" t="s">
        <v>33</v>
      </c>
      <c r="I6" s="2" t="s">
        <v>27</v>
      </c>
      <c r="J6" s="5" t="s">
        <v>33</v>
      </c>
      <c r="K6" s="2" t="s">
        <v>27</v>
      </c>
      <c r="L6" s="5" t="s">
        <v>33</v>
      </c>
      <c r="M6" s="5" t="s">
        <v>33</v>
      </c>
      <c r="N6" s="2" t="s">
        <v>27</v>
      </c>
      <c r="O6" s="2">
        <f t="shared" ref="O6:O24" si="1">COUNTIF(B6:N6,"✔")</f>
        <v>7</v>
      </c>
      <c r="P6" s="51">
        <f t="shared" si="0"/>
        <v>0.53846153846153844</v>
      </c>
      <c r="Q6" s="25" t="s">
        <v>34</v>
      </c>
      <c r="R6" s="49" t="s">
        <v>37</v>
      </c>
      <c r="S6" s="25" t="s">
        <v>123</v>
      </c>
      <c r="T6" s="25" t="s">
        <v>675</v>
      </c>
      <c r="U6" s="25" t="s">
        <v>374</v>
      </c>
    </row>
    <row r="7" spans="1:21">
      <c r="B7" s="2"/>
      <c r="C7" s="2"/>
      <c r="D7" s="5"/>
      <c r="E7" s="2"/>
      <c r="F7" s="5"/>
      <c r="G7" s="2"/>
      <c r="H7" s="5"/>
      <c r="I7" s="2"/>
      <c r="J7" s="5"/>
      <c r="K7" s="2"/>
      <c r="L7" s="5"/>
      <c r="M7" s="5"/>
      <c r="N7" s="2"/>
      <c r="O7" s="2"/>
      <c r="P7" s="51"/>
      <c r="Q7" s="25" t="s">
        <v>34</v>
      </c>
      <c r="R7" s="49" t="s">
        <v>37</v>
      </c>
      <c r="S7" s="25" t="s">
        <v>123</v>
      </c>
      <c r="T7" s="25" t="s">
        <v>676</v>
      </c>
      <c r="U7" s="25" t="s">
        <v>374</v>
      </c>
    </row>
    <row r="8" spans="1:21">
      <c r="A8" t="s">
        <v>376</v>
      </c>
      <c r="B8" s="2" t="s">
        <v>27</v>
      </c>
      <c r="C8" s="5" t="s">
        <v>33</v>
      </c>
      <c r="D8" s="5" t="s">
        <v>33</v>
      </c>
      <c r="E8" s="2" t="s">
        <v>27</v>
      </c>
      <c r="F8" s="5" t="s">
        <v>33</v>
      </c>
      <c r="G8" s="5" t="s">
        <v>33</v>
      </c>
      <c r="H8" s="5" t="s">
        <v>33</v>
      </c>
      <c r="I8" s="5" t="s">
        <v>33</v>
      </c>
      <c r="J8" s="5" t="s">
        <v>33</v>
      </c>
      <c r="K8" s="2" t="s">
        <v>27</v>
      </c>
      <c r="L8" s="5" t="s">
        <v>33</v>
      </c>
      <c r="M8" s="5" t="s">
        <v>33</v>
      </c>
      <c r="N8" s="2" t="s">
        <v>27</v>
      </c>
      <c r="O8" s="2">
        <f t="shared" si="1"/>
        <v>4</v>
      </c>
      <c r="P8" s="51">
        <f t="shared" si="0"/>
        <v>0.30769230769230771</v>
      </c>
      <c r="Q8" s="25" t="s">
        <v>34</v>
      </c>
      <c r="R8" s="49" t="s">
        <v>265</v>
      </c>
      <c r="S8" s="25" t="s">
        <v>266</v>
      </c>
      <c r="T8" s="25" t="s">
        <v>310</v>
      </c>
      <c r="U8" s="25" t="s">
        <v>145</v>
      </c>
    </row>
    <row r="9" spans="1:21">
      <c r="B9" s="2"/>
      <c r="C9" s="5"/>
      <c r="D9" s="5"/>
      <c r="E9" s="2"/>
      <c r="F9" s="5"/>
      <c r="G9" s="5"/>
      <c r="H9" s="5"/>
      <c r="I9" s="5"/>
      <c r="J9" s="5"/>
      <c r="K9" s="2"/>
      <c r="L9" s="5"/>
      <c r="M9" s="5"/>
      <c r="N9" s="2"/>
      <c r="O9" s="2"/>
      <c r="P9" s="51"/>
      <c r="Q9" s="25" t="s">
        <v>34</v>
      </c>
      <c r="R9" s="36" t="s">
        <v>29</v>
      </c>
      <c r="S9" s="37" t="s">
        <v>694</v>
      </c>
      <c r="T9" s="37" t="s">
        <v>300</v>
      </c>
      <c r="U9" s="37" t="s">
        <v>301</v>
      </c>
    </row>
    <row r="10" spans="1:21">
      <c r="A10" t="s">
        <v>377</v>
      </c>
      <c r="B10" s="2" t="s">
        <v>27</v>
      </c>
      <c r="C10" s="5" t="s">
        <v>33</v>
      </c>
      <c r="D10" s="5" t="s">
        <v>33</v>
      </c>
      <c r="E10" s="2" t="s">
        <v>27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5" t="s">
        <v>33</v>
      </c>
      <c r="L10" s="5" t="s">
        <v>33</v>
      </c>
      <c r="M10" s="5" t="s">
        <v>33</v>
      </c>
      <c r="N10" s="5" t="s">
        <v>33</v>
      </c>
      <c r="O10" s="2">
        <f t="shared" si="1"/>
        <v>2</v>
      </c>
      <c r="P10" s="51">
        <f t="shared" si="0"/>
        <v>0.15384615384615385</v>
      </c>
      <c r="Q10" s="52" t="s">
        <v>34</v>
      </c>
      <c r="R10" s="46" t="s">
        <v>29</v>
      </c>
      <c r="S10" s="52" t="s">
        <v>378</v>
      </c>
      <c r="T10" s="25" t="s">
        <v>379</v>
      </c>
      <c r="U10" s="25" t="s">
        <v>700</v>
      </c>
    </row>
    <row r="11" spans="1:21">
      <c r="A11" t="s">
        <v>380</v>
      </c>
      <c r="B11" s="2" t="s">
        <v>27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2" t="s">
        <v>27</v>
      </c>
      <c r="K11" s="5" t="s">
        <v>33</v>
      </c>
      <c r="L11" s="5" t="s">
        <v>33</v>
      </c>
      <c r="M11" s="5" t="s">
        <v>33</v>
      </c>
      <c r="N11" s="5" t="s">
        <v>33</v>
      </c>
      <c r="O11" s="2">
        <f t="shared" si="1"/>
        <v>2</v>
      </c>
      <c r="P11" s="51">
        <f t="shared" si="0"/>
        <v>0.15384615384615385</v>
      </c>
      <c r="Q11" s="52" t="s">
        <v>34</v>
      </c>
      <c r="R11" s="49" t="s">
        <v>37</v>
      </c>
      <c r="S11" s="25" t="s">
        <v>123</v>
      </c>
      <c r="T11" s="25" t="s">
        <v>675</v>
      </c>
      <c r="U11" s="25" t="s">
        <v>374</v>
      </c>
    </row>
    <row r="12" spans="1:21">
      <c r="B12" s="2"/>
      <c r="C12" s="5"/>
      <c r="D12" s="5"/>
      <c r="E12" s="5"/>
      <c r="F12" s="5"/>
      <c r="G12" s="5"/>
      <c r="H12" s="5"/>
      <c r="I12" s="5"/>
      <c r="J12" s="2"/>
      <c r="K12" s="5"/>
      <c r="L12" s="5"/>
      <c r="M12" s="5"/>
      <c r="N12" s="5"/>
      <c r="O12" s="2"/>
      <c r="P12" s="51"/>
      <c r="Q12" s="52" t="s">
        <v>34</v>
      </c>
      <c r="R12" s="49" t="s">
        <v>37</v>
      </c>
      <c r="S12" s="25" t="s">
        <v>123</v>
      </c>
      <c r="T12" s="25" t="s">
        <v>676</v>
      </c>
      <c r="U12" s="25" t="s">
        <v>374</v>
      </c>
    </row>
    <row r="13" spans="1:21">
      <c r="B13" s="2"/>
      <c r="C13" s="5"/>
      <c r="D13" s="5"/>
      <c r="E13" s="5"/>
      <c r="F13" s="5"/>
      <c r="G13" s="5"/>
      <c r="H13" s="5"/>
      <c r="I13" s="5"/>
      <c r="J13" s="2"/>
      <c r="K13" s="5"/>
      <c r="L13" s="5"/>
      <c r="M13" s="5"/>
      <c r="N13" s="5"/>
      <c r="O13" s="2"/>
      <c r="P13" s="51"/>
      <c r="Q13" s="52" t="s">
        <v>34</v>
      </c>
      <c r="R13" s="49" t="s">
        <v>37</v>
      </c>
      <c r="S13" s="25" t="s">
        <v>123</v>
      </c>
      <c r="T13" t="s">
        <v>677</v>
      </c>
      <c r="U13" s="25" t="s">
        <v>374</v>
      </c>
    </row>
    <row r="14" spans="1:21">
      <c r="A14" t="s">
        <v>381</v>
      </c>
      <c r="B14" s="5" t="s">
        <v>33</v>
      </c>
      <c r="C14" s="5" t="s">
        <v>33</v>
      </c>
      <c r="D14" s="5" t="s">
        <v>33</v>
      </c>
      <c r="E14" s="2" t="s">
        <v>27</v>
      </c>
      <c r="F14" s="5" t="s">
        <v>33</v>
      </c>
      <c r="G14" s="5" t="s">
        <v>33</v>
      </c>
      <c r="H14" s="5" t="s">
        <v>33</v>
      </c>
      <c r="I14" s="5" t="s">
        <v>33</v>
      </c>
      <c r="J14" s="5" t="s">
        <v>33</v>
      </c>
      <c r="K14" s="2" t="s">
        <v>27</v>
      </c>
      <c r="L14" s="5" t="s">
        <v>33</v>
      </c>
      <c r="M14" s="5" t="s">
        <v>33</v>
      </c>
      <c r="N14" s="2" t="s">
        <v>27</v>
      </c>
      <c r="O14" s="2">
        <f t="shared" si="1"/>
        <v>3</v>
      </c>
      <c r="P14" s="51">
        <f t="shared" si="0"/>
        <v>0.23076923076923078</v>
      </c>
      <c r="Q14" s="52" t="s">
        <v>34</v>
      </c>
      <c r="R14" s="46" t="s">
        <v>37</v>
      </c>
      <c r="S14" s="52" t="s">
        <v>123</v>
      </c>
      <c r="T14" s="25" t="s">
        <v>677</v>
      </c>
      <c r="U14" s="25" t="s">
        <v>374</v>
      </c>
    </row>
    <row r="15" spans="1:21">
      <c r="B15" s="5"/>
      <c r="C15" s="5"/>
      <c r="D15" s="5"/>
      <c r="E15" s="2"/>
      <c r="F15" s="5"/>
      <c r="G15" s="5"/>
      <c r="H15" s="5"/>
      <c r="I15" s="5"/>
      <c r="J15" s="5"/>
      <c r="K15" s="5"/>
      <c r="L15" s="5"/>
      <c r="M15" s="5"/>
      <c r="N15" s="2"/>
      <c r="O15" s="2"/>
      <c r="P15" s="51"/>
      <c r="Q15" s="52" t="s">
        <v>34</v>
      </c>
      <c r="R15" s="46" t="s">
        <v>37</v>
      </c>
      <c r="S15" s="52" t="s">
        <v>123</v>
      </c>
      <c r="T15" s="25" t="s">
        <v>382</v>
      </c>
      <c r="U15" s="25" t="s">
        <v>115</v>
      </c>
    </row>
    <row r="16" spans="1:21">
      <c r="A16" t="s">
        <v>383</v>
      </c>
      <c r="B16" s="5" t="s">
        <v>33</v>
      </c>
      <c r="C16" s="5" t="s">
        <v>33</v>
      </c>
      <c r="D16" s="5" t="s">
        <v>33</v>
      </c>
      <c r="E16" s="2" t="s">
        <v>27</v>
      </c>
      <c r="F16" s="5" t="s">
        <v>33</v>
      </c>
      <c r="G16" s="5" t="s">
        <v>33</v>
      </c>
      <c r="H16" s="5" t="s">
        <v>33</v>
      </c>
      <c r="I16" s="5" t="s">
        <v>33</v>
      </c>
      <c r="J16" s="5" t="s">
        <v>33</v>
      </c>
      <c r="K16" s="2" t="s">
        <v>27</v>
      </c>
      <c r="L16" s="5" t="s">
        <v>33</v>
      </c>
      <c r="M16" s="5" t="s">
        <v>33</v>
      </c>
      <c r="N16" s="2" t="s">
        <v>27</v>
      </c>
      <c r="O16" s="2">
        <f t="shared" si="1"/>
        <v>3</v>
      </c>
      <c r="P16" s="51">
        <f t="shared" si="0"/>
        <v>0.23076923076923078</v>
      </c>
      <c r="R16" s="5" t="s">
        <v>33</v>
      </c>
    </row>
    <row r="17" spans="1:21">
      <c r="A17" t="s">
        <v>384</v>
      </c>
      <c r="B17" s="2" t="s">
        <v>27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33</v>
      </c>
      <c r="K17" s="2" t="s">
        <v>27</v>
      </c>
      <c r="L17" s="5" t="s">
        <v>33</v>
      </c>
      <c r="M17" s="5" t="s">
        <v>33</v>
      </c>
      <c r="N17" s="5" t="s">
        <v>33</v>
      </c>
      <c r="O17" s="2">
        <f t="shared" si="1"/>
        <v>2</v>
      </c>
      <c r="P17" s="51">
        <f t="shared" si="0"/>
        <v>0.15384615384615385</v>
      </c>
      <c r="Q17" s="52" t="s">
        <v>34</v>
      </c>
      <c r="R17" s="46" t="s">
        <v>265</v>
      </c>
      <c r="S17" s="52" t="s">
        <v>266</v>
      </c>
      <c r="T17" s="25" t="s">
        <v>310</v>
      </c>
      <c r="U17" s="25" t="s">
        <v>145</v>
      </c>
    </row>
    <row r="18" spans="1:21">
      <c r="B18" s="2"/>
      <c r="C18" s="5"/>
      <c r="D18" s="5"/>
      <c r="E18" s="5"/>
      <c r="F18" s="5"/>
      <c r="G18" s="5"/>
      <c r="H18" s="5"/>
      <c r="I18" s="5"/>
      <c r="J18" s="5"/>
      <c r="K18" s="2"/>
      <c r="L18" s="5"/>
      <c r="M18" s="5"/>
      <c r="N18" s="5"/>
      <c r="O18" s="2"/>
      <c r="P18" s="51"/>
      <c r="Q18" s="25" t="s">
        <v>34</v>
      </c>
      <c r="R18" s="36" t="s">
        <v>29</v>
      </c>
      <c r="S18" s="37" t="s">
        <v>694</v>
      </c>
      <c r="T18" s="37" t="s">
        <v>300</v>
      </c>
      <c r="U18" s="37" t="s">
        <v>301</v>
      </c>
    </row>
    <row r="19" spans="1:21">
      <c r="A19" t="s">
        <v>385</v>
      </c>
      <c r="B19" s="2" t="s">
        <v>27</v>
      </c>
      <c r="C19" s="5" t="s">
        <v>33</v>
      </c>
      <c r="D19" s="5" t="s">
        <v>33</v>
      </c>
      <c r="E19" s="5" t="s">
        <v>33</v>
      </c>
      <c r="F19" s="5" t="s">
        <v>33</v>
      </c>
      <c r="G19" s="5" t="s">
        <v>33</v>
      </c>
      <c r="H19" s="5" t="s">
        <v>33</v>
      </c>
      <c r="I19" s="5" t="s">
        <v>33</v>
      </c>
      <c r="J19" s="5" t="s">
        <v>33</v>
      </c>
      <c r="K19" s="2" t="s">
        <v>27</v>
      </c>
      <c r="L19" s="5" t="s">
        <v>33</v>
      </c>
      <c r="M19" s="5" t="s">
        <v>33</v>
      </c>
      <c r="N19" s="5" t="s">
        <v>33</v>
      </c>
      <c r="O19" s="2">
        <f t="shared" si="1"/>
        <v>2</v>
      </c>
      <c r="P19" s="51">
        <f t="shared" si="0"/>
        <v>0.15384615384615385</v>
      </c>
      <c r="Q19" s="52" t="s">
        <v>34</v>
      </c>
      <c r="R19" s="46" t="s">
        <v>265</v>
      </c>
      <c r="S19" s="52" t="s">
        <v>266</v>
      </c>
      <c r="T19" s="25" t="s">
        <v>310</v>
      </c>
      <c r="U19" s="25" t="s">
        <v>145</v>
      </c>
    </row>
    <row r="20" spans="1:21">
      <c r="B20" s="2"/>
      <c r="C20" s="5"/>
      <c r="D20" s="5"/>
      <c r="E20" s="5"/>
      <c r="F20" s="5"/>
      <c r="G20" s="5"/>
      <c r="H20" s="5"/>
      <c r="I20" s="5"/>
      <c r="J20" s="5"/>
      <c r="K20" s="2"/>
      <c r="L20" s="5"/>
      <c r="M20" s="5"/>
      <c r="N20" s="5"/>
      <c r="O20" s="2"/>
      <c r="P20" s="51"/>
      <c r="Q20" s="52" t="s">
        <v>34</v>
      </c>
      <c r="R20" s="36" t="s">
        <v>29</v>
      </c>
      <c r="S20" s="37" t="s">
        <v>694</v>
      </c>
      <c r="T20" s="37" t="s">
        <v>300</v>
      </c>
      <c r="U20" s="37" t="s">
        <v>301</v>
      </c>
    </row>
    <row r="21" spans="1:21">
      <c r="A21" t="s">
        <v>386</v>
      </c>
      <c r="B21" s="2" t="s">
        <v>27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5" t="s">
        <v>33</v>
      </c>
      <c r="I21" s="5" t="s">
        <v>33</v>
      </c>
      <c r="J21" s="5" t="s">
        <v>33</v>
      </c>
      <c r="K21" s="2" t="s">
        <v>27</v>
      </c>
      <c r="L21" s="5" t="s">
        <v>33</v>
      </c>
      <c r="M21" s="5" t="s">
        <v>33</v>
      </c>
      <c r="N21" s="5" t="s">
        <v>33</v>
      </c>
      <c r="O21" s="2">
        <f t="shared" si="1"/>
        <v>2</v>
      </c>
      <c r="P21" s="51">
        <f t="shared" si="0"/>
        <v>0.15384615384615385</v>
      </c>
      <c r="Q21" s="52" t="s">
        <v>34</v>
      </c>
      <c r="R21" s="46" t="s">
        <v>265</v>
      </c>
      <c r="S21" s="52" t="s">
        <v>266</v>
      </c>
      <c r="T21" s="25" t="s">
        <v>310</v>
      </c>
      <c r="U21" s="25" t="s">
        <v>145</v>
      </c>
    </row>
    <row r="22" spans="1:21">
      <c r="B22" s="2"/>
      <c r="C22" s="5"/>
      <c r="D22" s="5"/>
      <c r="E22" s="5"/>
      <c r="F22" s="5"/>
      <c r="G22" s="5"/>
      <c r="H22" s="5"/>
      <c r="I22" s="5"/>
      <c r="J22" s="5"/>
      <c r="K22" s="2"/>
      <c r="L22" s="5"/>
      <c r="M22" s="5"/>
      <c r="N22" s="5"/>
      <c r="O22" s="2"/>
      <c r="P22" s="51"/>
      <c r="Q22" s="52" t="s">
        <v>34</v>
      </c>
      <c r="R22" s="36" t="s">
        <v>29</v>
      </c>
      <c r="S22" s="37" t="s">
        <v>694</v>
      </c>
      <c r="T22" s="37" t="s">
        <v>300</v>
      </c>
      <c r="U22" s="37" t="s">
        <v>301</v>
      </c>
    </row>
    <row r="23" spans="1:21">
      <c r="A23" t="s">
        <v>387</v>
      </c>
      <c r="B23" s="5" t="s">
        <v>33</v>
      </c>
      <c r="C23" s="5" t="s">
        <v>33</v>
      </c>
      <c r="D23" s="5" t="s">
        <v>33</v>
      </c>
      <c r="E23" s="2" t="s">
        <v>27</v>
      </c>
      <c r="F23" s="5" t="s">
        <v>33</v>
      </c>
      <c r="G23" s="5" t="s">
        <v>33</v>
      </c>
      <c r="H23" s="5" t="s">
        <v>33</v>
      </c>
      <c r="I23" s="5" t="s">
        <v>33</v>
      </c>
      <c r="J23" s="5" t="s">
        <v>33</v>
      </c>
      <c r="K23" s="5" t="s">
        <v>33</v>
      </c>
      <c r="L23" s="5" t="s">
        <v>33</v>
      </c>
      <c r="M23" s="5" t="s">
        <v>33</v>
      </c>
      <c r="N23" s="5" t="s">
        <v>33</v>
      </c>
      <c r="O23" s="2">
        <f t="shared" si="1"/>
        <v>1</v>
      </c>
      <c r="P23" s="51">
        <f t="shared" si="0"/>
        <v>7.6923076923076927E-2</v>
      </c>
      <c r="R23" s="5" t="s">
        <v>33</v>
      </c>
    </row>
    <row r="24" spans="1:21">
      <c r="A24" t="s">
        <v>388</v>
      </c>
      <c r="B24" s="5" t="s">
        <v>33</v>
      </c>
      <c r="C24" s="5" t="s">
        <v>33</v>
      </c>
      <c r="D24" s="5" t="s">
        <v>33</v>
      </c>
      <c r="E24" s="5" t="s">
        <v>33</v>
      </c>
      <c r="F24" s="5" t="s">
        <v>33</v>
      </c>
      <c r="G24" s="5" t="s">
        <v>33</v>
      </c>
      <c r="H24" s="5" t="s">
        <v>33</v>
      </c>
      <c r="I24" s="5" t="s">
        <v>33</v>
      </c>
      <c r="J24" s="5" t="s">
        <v>33</v>
      </c>
      <c r="K24" s="2" t="s">
        <v>27</v>
      </c>
      <c r="L24" s="2" t="s">
        <v>27</v>
      </c>
      <c r="M24" s="5" t="s">
        <v>33</v>
      </c>
      <c r="N24" s="5" t="s">
        <v>33</v>
      </c>
      <c r="O24" s="2">
        <f t="shared" si="1"/>
        <v>2</v>
      </c>
      <c r="P24" s="51">
        <f t="shared" si="0"/>
        <v>0.15384615384615385</v>
      </c>
      <c r="Q24" s="52" t="s">
        <v>34</v>
      </c>
      <c r="R24" s="46" t="s">
        <v>29</v>
      </c>
      <c r="S24" s="52" t="s">
        <v>249</v>
      </c>
      <c r="T24" s="25" t="s">
        <v>124</v>
      </c>
      <c r="U24" s="25" t="s">
        <v>250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99E0-7ED7-4882-AE18-7C17680E35F9}">
  <sheetPr codeName="Sheet9"/>
  <dimension ref="A1:U41"/>
  <sheetViews>
    <sheetView zoomScale="70" zoomScaleNormal="70" workbookViewId="0">
      <pane xSplit="1" topLeftCell="R1" activePane="topRight" state="frozen"/>
      <selection pane="topRight" activeCell="R33" sqref="R33"/>
    </sheetView>
  </sheetViews>
  <sheetFormatPr defaultRowHeight="15" customHeight="1"/>
  <cols>
    <col min="1" max="1" width="50.69140625" customWidth="1"/>
    <col min="2" max="16" width="13.69140625" customWidth="1"/>
    <col min="17" max="17" width="20.69140625" customWidth="1"/>
    <col min="18" max="18" width="20.69140625" style="21" customWidth="1"/>
    <col min="19" max="21" width="20.69140625" customWidth="1"/>
  </cols>
  <sheetData>
    <row r="1" spans="1:21" ht="75" customHeight="1">
      <c r="A1" s="54" t="s">
        <v>389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390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84"/>
      <c r="S2" s="78"/>
      <c r="T2" s="78"/>
      <c r="U2" s="78"/>
    </row>
    <row r="3" spans="1:21" ht="14.5" customHeight="1">
      <c r="A3" s="57" t="s">
        <v>391</v>
      </c>
      <c r="B3" s="59" t="s">
        <v>27</v>
      </c>
      <c r="C3" s="60" t="s">
        <v>33</v>
      </c>
      <c r="D3" s="59" t="s">
        <v>27</v>
      </c>
      <c r="E3" s="59" t="s">
        <v>27</v>
      </c>
      <c r="F3" s="60" t="s">
        <v>33</v>
      </c>
      <c r="G3" s="59" t="s">
        <v>27</v>
      </c>
      <c r="H3" s="59" t="s">
        <v>27</v>
      </c>
      <c r="I3" s="59" t="s">
        <v>27</v>
      </c>
      <c r="J3" s="60" t="s">
        <v>33</v>
      </c>
      <c r="K3" s="60" t="s">
        <v>33</v>
      </c>
      <c r="L3" s="60" t="s">
        <v>33</v>
      </c>
      <c r="M3" s="59" t="s">
        <v>27</v>
      </c>
      <c r="N3" s="60" t="s">
        <v>33</v>
      </c>
      <c r="O3" s="59">
        <f>COUNTIF(B3:N3,"✔")</f>
        <v>7</v>
      </c>
      <c r="P3" s="53">
        <f>O3/13</f>
        <v>0.53846153846153844</v>
      </c>
      <c r="Q3" s="58" t="s">
        <v>34</v>
      </c>
      <c r="R3" s="85" t="s">
        <v>29</v>
      </c>
      <c r="S3" s="58" t="s">
        <v>50</v>
      </c>
      <c r="T3" s="58" t="s">
        <v>231</v>
      </c>
      <c r="U3" s="58" t="s">
        <v>289</v>
      </c>
    </row>
    <row r="4" spans="1:21" ht="14.5" customHeight="1">
      <c r="A4" s="57" t="s">
        <v>392</v>
      </c>
      <c r="B4" s="59" t="s">
        <v>27</v>
      </c>
      <c r="C4" s="60" t="s">
        <v>33</v>
      </c>
      <c r="D4" s="59" t="s">
        <v>27</v>
      </c>
      <c r="E4" s="59" t="s">
        <v>27</v>
      </c>
      <c r="F4" s="60" t="s">
        <v>33</v>
      </c>
      <c r="G4" s="59" t="s">
        <v>27</v>
      </c>
      <c r="H4" s="59" t="s">
        <v>27</v>
      </c>
      <c r="I4" s="59" t="s">
        <v>27</v>
      </c>
      <c r="J4" s="59" t="s">
        <v>27</v>
      </c>
      <c r="K4" s="60" t="s">
        <v>33</v>
      </c>
      <c r="L4" s="60" t="s">
        <v>33</v>
      </c>
      <c r="M4" s="60" t="s">
        <v>33</v>
      </c>
      <c r="N4" s="60" t="s">
        <v>33</v>
      </c>
      <c r="O4" s="59">
        <f t="shared" ref="O4:O41" si="0">COUNTIF(B4:N4,"✔")</f>
        <v>7</v>
      </c>
      <c r="P4" s="53">
        <f t="shared" ref="P4:P11" si="1">O4/13</f>
        <v>0.53846153846153844</v>
      </c>
      <c r="Q4" s="58" t="s">
        <v>34</v>
      </c>
      <c r="R4" s="85" t="s">
        <v>29</v>
      </c>
      <c r="S4" s="58" t="s">
        <v>50</v>
      </c>
      <c r="T4" s="58" t="s">
        <v>231</v>
      </c>
      <c r="U4" s="58" t="s">
        <v>289</v>
      </c>
    </row>
    <row r="5" spans="1:21" ht="14.5" customHeight="1">
      <c r="A5" s="57" t="s">
        <v>399</v>
      </c>
      <c r="B5" s="59" t="s">
        <v>27</v>
      </c>
      <c r="C5" s="60" t="s">
        <v>33</v>
      </c>
      <c r="D5" s="59" t="s">
        <v>27</v>
      </c>
      <c r="E5" s="60" t="s">
        <v>33</v>
      </c>
      <c r="F5" s="60" t="s">
        <v>33</v>
      </c>
      <c r="G5" s="59" t="s">
        <v>27</v>
      </c>
      <c r="H5" s="60" t="s">
        <v>33</v>
      </c>
      <c r="I5" s="59" t="s">
        <v>27</v>
      </c>
      <c r="J5" s="59" t="s">
        <v>27</v>
      </c>
      <c r="K5" s="60" t="s">
        <v>33</v>
      </c>
      <c r="L5" s="60" t="s">
        <v>33</v>
      </c>
      <c r="M5" s="60" t="s">
        <v>33</v>
      </c>
      <c r="N5" s="59" t="s">
        <v>27</v>
      </c>
      <c r="O5" s="59">
        <f>COUNTIF(B5:N5,"✔")</f>
        <v>6</v>
      </c>
      <c r="P5" s="53">
        <f>O5/13</f>
        <v>0.46153846153846156</v>
      </c>
      <c r="Q5" s="58" t="s">
        <v>34</v>
      </c>
      <c r="R5" s="85" t="s">
        <v>265</v>
      </c>
      <c r="S5" s="58" t="s">
        <v>285</v>
      </c>
      <c r="T5" s="58" t="s">
        <v>397</v>
      </c>
      <c r="U5" s="58" t="s">
        <v>145</v>
      </c>
    </row>
    <row r="6" spans="1:21" ht="14.5" customHeight="1">
      <c r="A6" s="57" t="s">
        <v>400</v>
      </c>
      <c r="B6" s="59" t="s">
        <v>27</v>
      </c>
      <c r="C6" s="60" t="s">
        <v>33</v>
      </c>
      <c r="D6" s="60" t="s">
        <v>33</v>
      </c>
      <c r="E6" s="60" t="s">
        <v>33</v>
      </c>
      <c r="F6" s="59" t="s">
        <v>27</v>
      </c>
      <c r="G6" s="59" t="s">
        <v>27</v>
      </c>
      <c r="H6" s="60" t="s">
        <v>33</v>
      </c>
      <c r="I6" s="59" t="s">
        <v>27</v>
      </c>
      <c r="J6" s="59" t="s">
        <v>27</v>
      </c>
      <c r="K6" s="60" t="s">
        <v>33</v>
      </c>
      <c r="L6" s="60" t="s">
        <v>33</v>
      </c>
      <c r="M6" s="60" t="s">
        <v>33</v>
      </c>
      <c r="N6" s="59" t="s">
        <v>27</v>
      </c>
      <c r="O6" s="59">
        <f>COUNTIF(B6:N6,"✔")</f>
        <v>6</v>
      </c>
      <c r="P6" s="53">
        <f>O6/13</f>
        <v>0.46153846153846156</v>
      </c>
      <c r="Q6" s="58" t="s">
        <v>34</v>
      </c>
      <c r="R6" s="85" t="s">
        <v>265</v>
      </c>
      <c r="S6" s="58" t="s">
        <v>285</v>
      </c>
      <c r="T6" s="58" t="s">
        <v>397</v>
      </c>
      <c r="U6" s="58" t="s">
        <v>145</v>
      </c>
    </row>
    <row r="7" spans="1:21" ht="14.5" customHeight="1">
      <c r="A7" s="57" t="s">
        <v>393</v>
      </c>
      <c r="B7" s="59" t="s">
        <v>27</v>
      </c>
      <c r="C7" s="60" t="s">
        <v>33</v>
      </c>
      <c r="D7" s="59" t="s">
        <v>27</v>
      </c>
      <c r="E7" s="60" t="s">
        <v>33</v>
      </c>
      <c r="F7" s="60" t="s">
        <v>33</v>
      </c>
      <c r="G7" s="59" t="s">
        <v>27</v>
      </c>
      <c r="H7" s="59" t="s">
        <v>27</v>
      </c>
      <c r="I7" s="59" t="s">
        <v>27</v>
      </c>
      <c r="J7" s="60" t="s">
        <v>33</v>
      </c>
      <c r="K7" s="60" t="s">
        <v>33</v>
      </c>
      <c r="L7" s="60" t="s">
        <v>33</v>
      </c>
      <c r="M7" s="60" t="s">
        <v>33</v>
      </c>
      <c r="N7" s="60" t="s">
        <v>33</v>
      </c>
      <c r="O7" s="59">
        <f t="shared" si="0"/>
        <v>5</v>
      </c>
      <c r="P7" s="53">
        <f t="shared" si="1"/>
        <v>0.38461538461538464</v>
      </c>
      <c r="Q7" s="58" t="s">
        <v>34</v>
      </c>
      <c r="R7" s="85" t="s">
        <v>29</v>
      </c>
      <c r="S7" s="58" t="s">
        <v>50</v>
      </c>
      <c r="T7" s="58" t="s">
        <v>231</v>
      </c>
      <c r="U7" s="58" t="s">
        <v>289</v>
      </c>
    </row>
    <row r="8" spans="1:21" ht="14.5" customHeight="1">
      <c r="A8" s="57" t="s">
        <v>395</v>
      </c>
      <c r="B8" s="59" t="s">
        <v>27</v>
      </c>
      <c r="C8" s="60" t="s">
        <v>33</v>
      </c>
      <c r="D8" s="59" t="s">
        <v>27</v>
      </c>
      <c r="E8" s="60" t="s">
        <v>33</v>
      </c>
      <c r="F8" s="60" t="s">
        <v>33</v>
      </c>
      <c r="G8" s="59" t="s">
        <v>27</v>
      </c>
      <c r="H8" s="60" t="s">
        <v>33</v>
      </c>
      <c r="I8" s="59" t="s">
        <v>27</v>
      </c>
      <c r="J8" s="60" t="s">
        <v>33</v>
      </c>
      <c r="K8" s="60" t="s">
        <v>33</v>
      </c>
      <c r="L8" s="60" t="s">
        <v>33</v>
      </c>
      <c r="M8" s="60" t="s">
        <v>33</v>
      </c>
      <c r="N8" s="60" t="s">
        <v>33</v>
      </c>
      <c r="O8" s="59">
        <f t="shared" si="0"/>
        <v>4</v>
      </c>
      <c r="P8" s="53">
        <f t="shared" si="1"/>
        <v>0.30769230769230771</v>
      </c>
      <c r="Q8" s="58" t="s">
        <v>34</v>
      </c>
      <c r="R8" s="85" t="s">
        <v>29</v>
      </c>
      <c r="S8" s="58" t="s">
        <v>694</v>
      </c>
      <c r="T8" s="58" t="s">
        <v>300</v>
      </c>
      <c r="U8" s="58" t="s">
        <v>301</v>
      </c>
    </row>
    <row r="9" spans="1:21" ht="14.5" customHeight="1">
      <c r="A9" s="57" t="s">
        <v>396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3"/>
      <c r="Q9" s="58" t="s">
        <v>34</v>
      </c>
      <c r="R9" s="85" t="s">
        <v>265</v>
      </c>
      <c r="S9" s="58" t="s">
        <v>285</v>
      </c>
      <c r="T9" s="58" t="s">
        <v>397</v>
      </c>
      <c r="U9" s="58" t="s">
        <v>145</v>
      </c>
    </row>
    <row r="10" spans="1:21" ht="14.5" customHeight="1">
      <c r="A10" s="57" t="s">
        <v>394</v>
      </c>
      <c r="B10" s="59" t="s">
        <v>27</v>
      </c>
      <c r="C10" s="60" t="s">
        <v>33</v>
      </c>
      <c r="D10" s="60" t="s">
        <v>33</v>
      </c>
      <c r="E10" s="60" t="s">
        <v>33</v>
      </c>
      <c r="F10" s="60" t="s">
        <v>33</v>
      </c>
      <c r="G10" s="60" t="s">
        <v>33</v>
      </c>
      <c r="H10" s="59" t="s">
        <v>27</v>
      </c>
      <c r="I10" s="60" t="s">
        <v>33</v>
      </c>
      <c r="J10" s="60" t="s">
        <v>33</v>
      </c>
      <c r="K10" s="60" t="s">
        <v>33</v>
      </c>
      <c r="L10" s="60" t="s">
        <v>33</v>
      </c>
      <c r="M10" s="60" t="s">
        <v>33</v>
      </c>
      <c r="N10" s="60" t="s">
        <v>33</v>
      </c>
      <c r="O10" s="59">
        <f>COUNTIF(B10:N10,"✔")</f>
        <v>2</v>
      </c>
      <c r="P10" s="53">
        <f>O10/13</f>
        <v>0.15384615384615385</v>
      </c>
      <c r="Q10" s="58" t="s">
        <v>34</v>
      </c>
      <c r="R10" s="85" t="s">
        <v>29</v>
      </c>
      <c r="S10" s="58" t="s">
        <v>50</v>
      </c>
      <c r="T10" s="58" t="s">
        <v>231</v>
      </c>
      <c r="U10" s="58" t="s">
        <v>289</v>
      </c>
    </row>
    <row r="11" spans="1:21" ht="14.5" customHeight="1">
      <c r="A11" s="57" t="s">
        <v>398</v>
      </c>
      <c r="B11" s="59" t="s">
        <v>27</v>
      </c>
      <c r="C11" s="60" t="s">
        <v>33</v>
      </c>
      <c r="D11" s="60" t="s">
        <v>33</v>
      </c>
      <c r="E11" s="60" t="s">
        <v>33</v>
      </c>
      <c r="F11" s="60" t="s">
        <v>33</v>
      </c>
      <c r="G11" s="60" t="s">
        <v>33</v>
      </c>
      <c r="H11" s="60" t="s">
        <v>33</v>
      </c>
      <c r="I11" s="60" t="s">
        <v>33</v>
      </c>
      <c r="J11" s="59" t="s">
        <v>27</v>
      </c>
      <c r="K11" s="60" t="s">
        <v>33</v>
      </c>
      <c r="L11" s="60" t="s">
        <v>33</v>
      </c>
      <c r="M11" s="60" t="s">
        <v>33</v>
      </c>
      <c r="N11" s="60" t="s">
        <v>33</v>
      </c>
      <c r="O11" s="59">
        <f t="shared" si="0"/>
        <v>2</v>
      </c>
      <c r="P11" s="53">
        <f t="shared" si="1"/>
        <v>0.15384615384615385</v>
      </c>
      <c r="Q11" s="58" t="s">
        <v>34</v>
      </c>
      <c r="R11" s="85" t="s">
        <v>29</v>
      </c>
      <c r="S11" s="58" t="s">
        <v>694</v>
      </c>
      <c r="T11" s="58" t="s">
        <v>300</v>
      </c>
      <c r="U11" s="58" t="s">
        <v>301</v>
      </c>
    </row>
    <row r="12" spans="1:21" s="73" customFormat="1" ht="14.5" customHeight="1">
      <c r="A12" s="75" t="s">
        <v>401</v>
      </c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7"/>
      <c r="Q12" s="78"/>
      <c r="R12" s="84"/>
      <c r="S12" s="78"/>
      <c r="T12" s="78"/>
      <c r="U12" s="78"/>
    </row>
    <row r="13" spans="1:21" ht="14.5" customHeight="1">
      <c r="A13" s="57" t="s">
        <v>402</v>
      </c>
      <c r="B13" s="59" t="s">
        <v>27</v>
      </c>
      <c r="C13" s="60" t="s">
        <v>33</v>
      </c>
      <c r="D13" s="59" t="s">
        <v>27</v>
      </c>
      <c r="E13" s="60" t="s">
        <v>33</v>
      </c>
      <c r="F13" s="60" t="s">
        <v>33</v>
      </c>
      <c r="G13" s="59" t="s">
        <v>27</v>
      </c>
      <c r="H13" s="59" t="s">
        <v>27</v>
      </c>
      <c r="I13" s="59" t="s">
        <v>27</v>
      </c>
      <c r="J13" s="60" t="s">
        <v>33</v>
      </c>
      <c r="K13" s="60" t="s">
        <v>33</v>
      </c>
      <c r="L13" s="60" t="s">
        <v>33</v>
      </c>
      <c r="M13" s="60" t="s">
        <v>33</v>
      </c>
      <c r="N13" s="60" t="s">
        <v>33</v>
      </c>
      <c r="O13" s="59">
        <f t="shared" ref="O13:O21" si="2">COUNTIF(B13:N13,"✔")</f>
        <v>5</v>
      </c>
      <c r="P13" s="53">
        <f>O13/13</f>
        <v>0.38461538461538464</v>
      </c>
      <c r="Q13" s="58" t="s">
        <v>34</v>
      </c>
      <c r="R13" s="85" t="s">
        <v>29</v>
      </c>
      <c r="S13" s="58" t="s">
        <v>50</v>
      </c>
      <c r="T13" s="58" t="s">
        <v>51</v>
      </c>
      <c r="U13" s="58" t="s">
        <v>68</v>
      </c>
    </row>
    <row r="14" spans="1:21" ht="14.5" customHeight="1">
      <c r="A14" s="57" t="s">
        <v>403</v>
      </c>
      <c r="B14" s="59" t="s">
        <v>27</v>
      </c>
      <c r="C14" s="60" t="s">
        <v>33</v>
      </c>
      <c r="D14" s="59" t="s">
        <v>27</v>
      </c>
      <c r="E14" s="60" t="s">
        <v>33</v>
      </c>
      <c r="F14" s="60" t="s">
        <v>33</v>
      </c>
      <c r="G14" s="59" t="s">
        <v>27</v>
      </c>
      <c r="H14" s="60" t="s">
        <v>33</v>
      </c>
      <c r="I14" s="59" t="s">
        <v>27</v>
      </c>
      <c r="J14" s="60" t="s">
        <v>33</v>
      </c>
      <c r="K14" s="60" t="s">
        <v>33</v>
      </c>
      <c r="L14" s="60" t="s">
        <v>33</v>
      </c>
      <c r="M14" s="60" t="s">
        <v>33</v>
      </c>
      <c r="N14" s="60" t="s">
        <v>33</v>
      </c>
      <c r="O14" s="59">
        <f t="shared" si="2"/>
        <v>4</v>
      </c>
      <c r="P14" s="53">
        <f t="shared" ref="P14:P21" si="3">O14/13</f>
        <v>0.30769230769230771</v>
      </c>
      <c r="Q14" s="58" t="s">
        <v>34</v>
      </c>
      <c r="R14" s="85" t="s">
        <v>44</v>
      </c>
      <c r="S14" s="58" t="s">
        <v>45</v>
      </c>
      <c r="T14" s="58" t="s">
        <v>317</v>
      </c>
      <c r="U14" s="58" t="s">
        <v>404</v>
      </c>
    </row>
    <row r="15" spans="1:21" ht="14.5" customHeight="1">
      <c r="A15" s="57" t="s">
        <v>406</v>
      </c>
      <c r="B15" s="59" t="s">
        <v>27</v>
      </c>
      <c r="C15" s="60" t="s">
        <v>33</v>
      </c>
      <c r="D15" s="59" t="s">
        <v>27</v>
      </c>
      <c r="E15" s="60" t="s">
        <v>33</v>
      </c>
      <c r="F15" s="60" t="s">
        <v>33</v>
      </c>
      <c r="G15" s="59" t="s">
        <v>27</v>
      </c>
      <c r="H15" s="60" t="s">
        <v>33</v>
      </c>
      <c r="I15" s="59" t="s">
        <v>27</v>
      </c>
      <c r="J15" s="60" t="s">
        <v>33</v>
      </c>
      <c r="K15" s="60" t="s">
        <v>33</v>
      </c>
      <c r="L15" s="60" t="s">
        <v>33</v>
      </c>
      <c r="M15" s="60" t="s">
        <v>33</v>
      </c>
      <c r="N15" s="60" t="s">
        <v>33</v>
      </c>
      <c r="O15" s="59">
        <f>COUNTIF(B15:N15,"✔")</f>
        <v>4</v>
      </c>
      <c r="P15" s="53">
        <f>O15/13</f>
        <v>0.30769230769230771</v>
      </c>
      <c r="Q15" s="58" t="s">
        <v>34</v>
      </c>
      <c r="R15" s="85" t="s">
        <v>44</v>
      </c>
      <c r="S15" s="58" t="s">
        <v>45</v>
      </c>
      <c r="T15" s="58" t="s">
        <v>407</v>
      </c>
      <c r="U15" s="58" t="s">
        <v>38</v>
      </c>
    </row>
    <row r="16" spans="1:21" ht="14.5" customHeight="1">
      <c r="A16" s="57" t="s">
        <v>408</v>
      </c>
      <c r="B16" s="60" t="s">
        <v>33</v>
      </c>
      <c r="C16" s="60" t="s">
        <v>33</v>
      </c>
      <c r="D16" s="59" t="s">
        <v>27</v>
      </c>
      <c r="E16" s="60" t="s">
        <v>33</v>
      </c>
      <c r="F16" s="60" t="s">
        <v>33</v>
      </c>
      <c r="G16" s="59" t="s">
        <v>27</v>
      </c>
      <c r="H16" s="60" t="s">
        <v>33</v>
      </c>
      <c r="I16" s="59" t="s">
        <v>27</v>
      </c>
      <c r="J16" s="60" t="s">
        <v>33</v>
      </c>
      <c r="K16" s="60" t="s">
        <v>33</v>
      </c>
      <c r="L16" s="60" t="s">
        <v>33</v>
      </c>
      <c r="M16" s="60" t="s">
        <v>33</v>
      </c>
      <c r="N16" s="60" t="s">
        <v>33</v>
      </c>
      <c r="O16" s="59">
        <f>COUNTIF(B16:N16,"✔")</f>
        <v>3</v>
      </c>
      <c r="P16" s="53">
        <f>O16/13</f>
        <v>0.23076923076923078</v>
      </c>
      <c r="Q16" s="58" t="s">
        <v>34</v>
      </c>
      <c r="R16" s="85" t="s">
        <v>29</v>
      </c>
      <c r="S16" s="58" t="s">
        <v>50</v>
      </c>
      <c r="T16" s="58" t="s">
        <v>231</v>
      </c>
      <c r="U16" s="58" t="s">
        <v>289</v>
      </c>
    </row>
    <row r="17" spans="1:21" ht="14.5" customHeight="1">
      <c r="A17" s="57" t="s">
        <v>411</v>
      </c>
      <c r="B17" s="60" t="s">
        <v>33</v>
      </c>
      <c r="C17" s="60" t="s">
        <v>33</v>
      </c>
      <c r="D17" s="59" t="s">
        <v>27</v>
      </c>
      <c r="E17" s="60" t="s">
        <v>33</v>
      </c>
      <c r="F17" s="60" t="s">
        <v>33</v>
      </c>
      <c r="G17" s="60" t="s">
        <v>33</v>
      </c>
      <c r="H17" s="59" t="s">
        <v>27</v>
      </c>
      <c r="I17" s="60" t="s">
        <v>33</v>
      </c>
      <c r="J17" s="60" t="s">
        <v>33</v>
      </c>
      <c r="K17" s="60" t="s">
        <v>33</v>
      </c>
      <c r="L17" s="60" t="s">
        <v>33</v>
      </c>
      <c r="M17" s="60" t="s">
        <v>33</v>
      </c>
      <c r="N17" s="60" t="s">
        <v>33</v>
      </c>
      <c r="O17" s="59">
        <f>COUNTIF(B17:N17,"✔")</f>
        <v>2</v>
      </c>
      <c r="P17" s="53">
        <f>O17/13</f>
        <v>0.15384615384615385</v>
      </c>
      <c r="Q17" s="58" t="s">
        <v>34</v>
      </c>
      <c r="R17" s="85" t="s">
        <v>29</v>
      </c>
      <c r="S17" s="58" t="s">
        <v>50</v>
      </c>
      <c r="T17" s="58" t="s">
        <v>51</v>
      </c>
      <c r="U17" s="58" t="s">
        <v>68</v>
      </c>
    </row>
    <row r="18" spans="1:21" ht="14.5" customHeight="1">
      <c r="A18" s="57" t="s">
        <v>405</v>
      </c>
      <c r="B18" s="59" t="s">
        <v>27</v>
      </c>
      <c r="C18" s="60" t="s">
        <v>33</v>
      </c>
      <c r="D18" s="60" t="s">
        <v>33</v>
      </c>
      <c r="E18" s="60" t="s">
        <v>33</v>
      </c>
      <c r="F18" s="60" t="s">
        <v>33</v>
      </c>
      <c r="G18" s="60" t="s">
        <v>33</v>
      </c>
      <c r="H18" s="60" t="s">
        <v>33</v>
      </c>
      <c r="I18" s="60" t="s">
        <v>33</v>
      </c>
      <c r="J18" s="60" t="s">
        <v>33</v>
      </c>
      <c r="K18" s="60" t="s">
        <v>33</v>
      </c>
      <c r="L18" s="60" t="s">
        <v>33</v>
      </c>
      <c r="M18" s="60" t="s">
        <v>33</v>
      </c>
      <c r="N18" s="60" t="s">
        <v>33</v>
      </c>
      <c r="O18" s="59">
        <f t="shared" si="2"/>
        <v>1</v>
      </c>
      <c r="P18" s="53">
        <f t="shared" si="3"/>
        <v>7.6923076923076927E-2</v>
      </c>
      <c r="Q18" s="58"/>
      <c r="R18" s="85" t="s">
        <v>33</v>
      </c>
      <c r="S18" s="58"/>
      <c r="T18" s="58"/>
      <c r="U18" s="58"/>
    </row>
    <row r="19" spans="1:21" s="73" customFormat="1" ht="14.5" customHeight="1">
      <c r="A19" s="71" t="s">
        <v>409</v>
      </c>
      <c r="B19" s="74" t="s">
        <v>27</v>
      </c>
      <c r="C19" s="87" t="s">
        <v>33</v>
      </c>
      <c r="D19" s="87" t="s">
        <v>33</v>
      </c>
      <c r="E19" s="87" t="s">
        <v>33</v>
      </c>
      <c r="F19" s="87" t="s">
        <v>33</v>
      </c>
      <c r="G19" s="87" t="s">
        <v>33</v>
      </c>
      <c r="H19" s="87" t="s">
        <v>33</v>
      </c>
      <c r="I19" s="87" t="s">
        <v>33</v>
      </c>
      <c r="J19" s="87" t="s">
        <v>33</v>
      </c>
      <c r="K19" s="87" t="s">
        <v>33</v>
      </c>
      <c r="L19" s="87" t="s">
        <v>33</v>
      </c>
      <c r="M19" s="87" t="s">
        <v>33</v>
      </c>
      <c r="N19" s="87" t="s">
        <v>33</v>
      </c>
      <c r="O19" s="74">
        <f t="shared" si="2"/>
        <v>1</v>
      </c>
      <c r="P19" s="53">
        <f t="shared" si="3"/>
        <v>7.6923076923076927E-2</v>
      </c>
      <c r="Q19" s="72"/>
      <c r="R19" s="88" t="s">
        <v>33</v>
      </c>
      <c r="S19" s="72"/>
      <c r="T19" s="72"/>
      <c r="U19" s="72"/>
    </row>
    <row r="20" spans="1:21" ht="14.5" customHeight="1">
      <c r="A20" s="57" t="s">
        <v>410</v>
      </c>
      <c r="B20" s="59" t="s">
        <v>27</v>
      </c>
      <c r="C20" s="60" t="s">
        <v>33</v>
      </c>
      <c r="D20" s="60" t="s">
        <v>33</v>
      </c>
      <c r="E20" s="60" t="s">
        <v>33</v>
      </c>
      <c r="F20" s="60" t="s">
        <v>33</v>
      </c>
      <c r="G20" s="60" t="s">
        <v>33</v>
      </c>
      <c r="H20" s="60" t="s">
        <v>33</v>
      </c>
      <c r="I20" s="60" t="s">
        <v>33</v>
      </c>
      <c r="J20" s="60" t="s">
        <v>33</v>
      </c>
      <c r="K20" s="60" t="s">
        <v>33</v>
      </c>
      <c r="L20" s="60" t="s">
        <v>33</v>
      </c>
      <c r="M20" s="60" t="s">
        <v>33</v>
      </c>
      <c r="N20" s="60" t="s">
        <v>33</v>
      </c>
      <c r="O20" s="59">
        <f t="shared" si="2"/>
        <v>1</v>
      </c>
      <c r="P20" s="53">
        <f t="shared" si="3"/>
        <v>7.6923076923076927E-2</v>
      </c>
      <c r="Q20" s="58" t="s">
        <v>34</v>
      </c>
      <c r="R20" s="85" t="s">
        <v>29</v>
      </c>
      <c r="S20" s="58" t="s">
        <v>50</v>
      </c>
      <c r="T20" s="58" t="s">
        <v>231</v>
      </c>
      <c r="U20" s="58" t="s">
        <v>289</v>
      </c>
    </row>
    <row r="21" spans="1:21" ht="14.5" customHeight="1">
      <c r="A21" s="57" t="s">
        <v>412</v>
      </c>
      <c r="B21" s="60" t="s">
        <v>33</v>
      </c>
      <c r="C21" s="60" t="s">
        <v>33</v>
      </c>
      <c r="D21" s="60" t="s">
        <v>33</v>
      </c>
      <c r="E21" s="60" t="s">
        <v>33</v>
      </c>
      <c r="F21" s="60" t="s">
        <v>33</v>
      </c>
      <c r="G21" s="60" t="s">
        <v>33</v>
      </c>
      <c r="H21" s="60" t="s">
        <v>33</v>
      </c>
      <c r="I21" s="60" t="s">
        <v>33</v>
      </c>
      <c r="J21" s="60" t="s">
        <v>33</v>
      </c>
      <c r="K21" s="60" t="s">
        <v>33</v>
      </c>
      <c r="L21" s="60" t="s">
        <v>33</v>
      </c>
      <c r="M21" s="60" t="s">
        <v>33</v>
      </c>
      <c r="N21" s="59" t="s">
        <v>27</v>
      </c>
      <c r="O21" s="59">
        <f t="shared" si="2"/>
        <v>1</v>
      </c>
      <c r="P21" s="53">
        <f t="shared" si="3"/>
        <v>7.6923076923076927E-2</v>
      </c>
      <c r="Q21" s="58" t="s">
        <v>34</v>
      </c>
      <c r="R21" s="85" t="s">
        <v>265</v>
      </c>
      <c r="S21" s="58" t="s">
        <v>285</v>
      </c>
      <c r="T21" s="58" t="s">
        <v>413</v>
      </c>
      <c r="U21" s="58" t="s">
        <v>414</v>
      </c>
    </row>
    <row r="22" spans="1:21" s="73" customFormat="1" ht="14.5" customHeight="1">
      <c r="A22" s="75" t="s">
        <v>415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7"/>
      <c r="Q22" s="78"/>
      <c r="R22" s="84"/>
      <c r="S22" s="78"/>
      <c r="T22" s="78"/>
      <c r="U22" s="78"/>
    </row>
    <row r="23" spans="1:21" ht="14.5" customHeight="1">
      <c r="A23" s="57" t="s">
        <v>416</v>
      </c>
      <c r="B23" s="59" t="s">
        <v>27</v>
      </c>
      <c r="C23" s="60" t="s">
        <v>33</v>
      </c>
      <c r="D23" s="59" t="s">
        <v>27</v>
      </c>
      <c r="E23" s="59" t="s">
        <v>27</v>
      </c>
      <c r="F23" s="59" t="s">
        <v>27</v>
      </c>
      <c r="G23" s="60" t="s">
        <v>33</v>
      </c>
      <c r="H23" s="60" t="s">
        <v>33</v>
      </c>
      <c r="I23" s="60" t="s">
        <v>33</v>
      </c>
      <c r="J23" s="59" t="s">
        <v>27</v>
      </c>
      <c r="K23" s="60" t="s">
        <v>33</v>
      </c>
      <c r="L23" s="60" t="s">
        <v>33</v>
      </c>
      <c r="M23" s="60" t="s">
        <v>33</v>
      </c>
      <c r="N23" s="59" t="s">
        <v>27</v>
      </c>
      <c r="O23" s="59">
        <f t="shared" si="0"/>
        <v>6</v>
      </c>
      <c r="P23" s="53">
        <f>O23/13</f>
        <v>0.46153846153846156</v>
      </c>
      <c r="Q23" s="58" t="s">
        <v>34</v>
      </c>
      <c r="R23" s="85" t="s">
        <v>265</v>
      </c>
      <c r="S23" s="58" t="s">
        <v>266</v>
      </c>
      <c r="T23" s="58" t="s">
        <v>397</v>
      </c>
      <c r="U23" s="58" t="s">
        <v>145</v>
      </c>
    </row>
    <row r="24" spans="1:21" ht="14.5" customHeight="1">
      <c r="A24" s="57" t="s">
        <v>417</v>
      </c>
      <c r="B24" s="59" t="s">
        <v>27</v>
      </c>
      <c r="C24" s="60" t="s">
        <v>33</v>
      </c>
      <c r="D24" s="59" t="s">
        <v>27</v>
      </c>
      <c r="E24" s="60" t="s">
        <v>33</v>
      </c>
      <c r="F24" s="60" t="s">
        <v>33</v>
      </c>
      <c r="G24" s="59" t="s">
        <v>27</v>
      </c>
      <c r="H24" s="60" t="s">
        <v>33</v>
      </c>
      <c r="I24" s="59" t="s">
        <v>27</v>
      </c>
      <c r="J24" s="59" t="s">
        <v>27</v>
      </c>
      <c r="K24" s="60" t="s">
        <v>33</v>
      </c>
      <c r="L24" s="60" t="s">
        <v>33</v>
      </c>
      <c r="M24" s="60" t="s">
        <v>33</v>
      </c>
      <c r="N24" s="59" t="s">
        <v>27</v>
      </c>
      <c r="O24" s="59">
        <f t="shared" si="0"/>
        <v>6</v>
      </c>
      <c r="P24" s="53">
        <f t="shared" ref="P24:P29" si="4">O24/13</f>
        <v>0.46153846153846156</v>
      </c>
      <c r="Q24" s="58" t="s">
        <v>34</v>
      </c>
      <c r="R24" s="85" t="s">
        <v>265</v>
      </c>
      <c r="S24" s="58" t="s">
        <v>266</v>
      </c>
      <c r="T24" s="58" t="s">
        <v>397</v>
      </c>
      <c r="U24" s="58" t="s">
        <v>145</v>
      </c>
    </row>
    <row r="25" spans="1:21" ht="14.5" customHeight="1">
      <c r="A25" s="57" t="s">
        <v>419</v>
      </c>
      <c r="B25" s="59" t="s">
        <v>27</v>
      </c>
      <c r="C25" s="60" t="s">
        <v>33</v>
      </c>
      <c r="D25" s="59" t="s">
        <v>27</v>
      </c>
      <c r="E25" s="60" t="s">
        <v>33</v>
      </c>
      <c r="F25" s="60" t="s">
        <v>33</v>
      </c>
      <c r="G25" s="59" t="s">
        <v>27</v>
      </c>
      <c r="H25" s="60" t="s">
        <v>33</v>
      </c>
      <c r="I25" s="59" t="s">
        <v>27</v>
      </c>
      <c r="J25" s="60" t="s">
        <v>33</v>
      </c>
      <c r="K25" s="60" t="s">
        <v>33</v>
      </c>
      <c r="L25" s="60" t="s">
        <v>33</v>
      </c>
      <c r="M25" s="60" t="s">
        <v>33</v>
      </c>
      <c r="N25" s="60" t="s">
        <v>33</v>
      </c>
      <c r="O25" s="59">
        <f>COUNTIF(B25:N25,"✔")</f>
        <v>4</v>
      </c>
      <c r="P25" s="53">
        <f>O25/13</f>
        <v>0.30769230769230771</v>
      </c>
      <c r="Q25" s="58" t="s">
        <v>34</v>
      </c>
      <c r="R25" s="85" t="s">
        <v>265</v>
      </c>
      <c r="S25" s="58" t="s">
        <v>682</v>
      </c>
      <c r="T25" s="58" t="s">
        <v>397</v>
      </c>
      <c r="U25" s="58" t="s">
        <v>145</v>
      </c>
    </row>
    <row r="26" spans="1:21" ht="14.5" customHeight="1">
      <c r="A26" s="57" t="s">
        <v>423</v>
      </c>
      <c r="B26" s="60" t="s">
        <v>33</v>
      </c>
      <c r="C26" s="60" t="s">
        <v>33</v>
      </c>
      <c r="D26" s="60" t="s">
        <v>33</v>
      </c>
      <c r="E26" s="59" t="s">
        <v>27</v>
      </c>
      <c r="F26" s="59" t="s">
        <v>27</v>
      </c>
      <c r="G26" s="60" t="s">
        <v>33</v>
      </c>
      <c r="H26" s="60" t="s">
        <v>33</v>
      </c>
      <c r="I26" s="60" t="s">
        <v>33</v>
      </c>
      <c r="J26" s="60" t="s">
        <v>33</v>
      </c>
      <c r="K26" s="60" t="s">
        <v>33</v>
      </c>
      <c r="L26" s="60" t="s">
        <v>33</v>
      </c>
      <c r="M26" s="60" t="s">
        <v>33</v>
      </c>
      <c r="N26" s="59" t="s">
        <v>27</v>
      </c>
      <c r="O26" s="59">
        <f>COUNTIF(B26:N26,"✔")</f>
        <v>3</v>
      </c>
      <c r="P26" s="53">
        <f>O26/13</f>
        <v>0.23076923076923078</v>
      </c>
      <c r="Q26" s="58" t="s">
        <v>34</v>
      </c>
      <c r="R26" s="85" t="s">
        <v>265</v>
      </c>
      <c r="S26" s="58" t="s">
        <v>285</v>
      </c>
      <c r="T26" s="58" t="s">
        <v>424</v>
      </c>
      <c r="U26" s="58" t="s">
        <v>145</v>
      </c>
    </row>
    <row r="27" spans="1:21" ht="14.5" customHeight="1">
      <c r="A27" s="57" t="s">
        <v>418</v>
      </c>
      <c r="B27" s="60" t="s">
        <v>33</v>
      </c>
      <c r="C27" s="60" t="s">
        <v>33</v>
      </c>
      <c r="D27" s="60" t="s">
        <v>33</v>
      </c>
      <c r="E27" s="60" t="s">
        <v>33</v>
      </c>
      <c r="F27" s="60" t="s">
        <v>33</v>
      </c>
      <c r="G27" s="60" t="s">
        <v>33</v>
      </c>
      <c r="H27" s="60" t="s">
        <v>33</v>
      </c>
      <c r="I27" s="60" t="s">
        <v>33</v>
      </c>
      <c r="J27" s="59" t="s">
        <v>27</v>
      </c>
      <c r="K27" s="60" t="s">
        <v>33</v>
      </c>
      <c r="L27" s="60" t="s">
        <v>33</v>
      </c>
      <c r="M27" s="60" t="s">
        <v>33</v>
      </c>
      <c r="N27" s="60" t="s">
        <v>33</v>
      </c>
      <c r="O27" s="59">
        <f t="shared" si="0"/>
        <v>1</v>
      </c>
      <c r="P27" s="53">
        <f t="shared" si="4"/>
        <v>7.6923076923076927E-2</v>
      </c>
      <c r="Q27" s="58" t="s">
        <v>34</v>
      </c>
      <c r="R27" s="85" t="s">
        <v>265</v>
      </c>
      <c r="S27" s="58" t="s">
        <v>266</v>
      </c>
      <c r="T27" s="58" t="s">
        <v>397</v>
      </c>
      <c r="U27" s="58" t="s">
        <v>145</v>
      </c>
    </row>
    <row r="28" spans="1:21" ht="14.5" customHeight="1">
      <c r="A28" s="57" t="s">
        <v>420</v>
      </c>
      <c r="B28" s="59" t="s">
        <v>27</v>
      </c>
      <c r="C28" s="60" t="s">
        <v>33</v>
      </c>
      <c r="D28" s="60" t="s">
        <v>33</v>
      </c>
      <c r="E28" s="60" t="s">
        <v>33</v>
      </c>
      <c r="F28" s="60" t="s">
        <v>33</v>
      </c>
      <c r="G28" s="60" t="s">
        <v>33</v>
      </c>
      <c r="H28" s="60" t="s">
        <v>33</v>
      </c>
      <c r="I28" s="60" t="s">
        <v>33</v>
      </c>
      <c r="J28" s="60" t="s">
        <v>33</v>
      </c>
      <c r="K28" s="60" t="s">
        <v>33</v>
      </c>
      <c r="L28" s="60" t="s">
        <v>33</v>
      </c>
      <c r="M28" s="60" t="s">
        <v>33</v>
      </c>
      <c r="N28" s="60" t="s">
        <v>33</v>
      </c>
      <c r="O28" s="59">
        <f t="shared" si="0"/>
        <v>1</v>
      </c>
      <c r="P28" s="53">
        <f t="shared" si="4"/>
        <v>7.6923076923076927E-2</v>
      </c>
      <c r="Q28" s="58" t="s">
        <v>34</v>
      </c>
      <c r="R28" s="85" t="s">
        <v>265</v>
      </c>
      <c r="S28" s="58" t="s">
        <v>421</v>
      </c>
      <c r="T28" s="58" t="s">
        <v>397</v>
      </c>
      <c r="U28" s="58" t="s">
        <v>145</v>
      </c>
    </row>
    <row r="29" spans="1:21" ht="14.5" customHeight="1">
      <c r="A29" s="57" t="s">
        <v>422</v>
      </c>
      <c r="B29" s="59" t="s">
        <v>27</v>
      </c>
      <c r="C29" s="60" t="s">
        <v>33</v>
      </c>
      <c r="D29" s="60" t="s">
        <v>33</v>
      </c>
      <c r="E29" s="60" t="s">
        <v>33</v>
      </c>
      <c r="F29" s="60" t="s">
        <v>33</v>
      </c>
      <c r="G29" s="60" t="s">
        <v>33</v>
      </c>
      <c r="H29" s="60" t="s">
        <v>33</v>
      </c>
      <c r="I29" s="60" t="s">
        <v>33</v>
      </c>
      <c r="J29" s="60" t="s">
        <v>33</v>
      </c>
      <c r="K29" s="60" t="s">
        <v>33</v>
      </c>
      <c r="L29" s="60" t="s">
        <v>33</v>
      </c>
      <c r="M29" s="60" t="s">
        <v>33</v>
      </c>
      <c r="N29" s="60" t="s">
        <v>33</v>
      </c>
      <c r="O29" s="59">
        <f t="shared" si="0"/>
        <v>1</v>
      </c>
      <c r="P29" s="53">
        <f t="shared" si="4"/>
        <v>7.6923076923076927E-2</v>
      </c>
      <c r="Q29" s="58" t="s">
        <v>34</v>
      </c>
      <c r="R29" s="85" t="s">
        <v>265</v>
      </c>
      <c r="S29" s="58" t="s">
        <v>421</v>
      </c>
      <c r="T29" s="58" t="s">
        <v>397</v>
      </c>
      <c r="U29" s="58" t="s">
        <v>145</v>
      </c>
    </row>
    <row r="30" spans="1:21" s="73" customFormat="1" ht="14.5" customHeight="1">
      <c r="A30" s="75" t="s">
        <v>425</v>
      </c>
      <c r="B30" s="76" t="s">
        <v>332</v>
      </c>
      <c r="C30" s="76" t="s">
        <v>332</v>
      </c>
      <c r="D30" s="76" t="s">
        <v>332</v>
      </c>
      <c r="E30" s="76" t="s">
        <v>332</v>
      </c>
      <c r="F30" s="76" t="s">
        <v>332</v>
      </c>
      <c r="G30" s="76" t="s">
        <v>332</v>
      </c>
      <c r="H30" s="76" t="s">
        <v>332</v>
      </c>
      <c r="I30" s="76" t="s">
        <v>332</v>
      </c>
      <c r="J30" s="76" t="s">
        <v>332</v>
      </c>
      <c r="K30" s="76" t="s">
        <v>332</v>
      </c>
      <c r="L30" s="76" t="s">
        <v>332</v>
      </c>
      <c r="M30" s="76"/>
      <c r="N30" s="76"/>
      <c r="O30" s="76"/>
      <c r="P30" s="77"/>
      <c r="Q30" s="78"/>
      <c r="R30" s="84"/>
      <c r="S30" s="78"/>
      <c r="T30" s="78"/>
      <c r="U30" s="78"/>
    </row>
    <row r="31" spans="1:21" ht="14.5" customHeight="1">
      <c r="A31" s="57" t="s">
        <v>426</v>
      </c>
      <c r="B31" s="59" t="s">
        <v>27</v>
      </c>
      <c r="C31" s="60" t="s">
        <v>33</v>
      </c>
      <c r="D31" s="59" t="s">
        <v>27</v>
      </c>
      <c r="E31" s="60" t="s">
        <v>33</v>
      </c>
      <c r="F31" s="60" t="s">
        <v>33</v>
      </c>
      <c r="G31" s="59" t="s">
        <v>27</v>
      </c>
      <c r="H31" s="60" t="s">
        <v>33</v>
      </c>
      <c r="I31" s="59" t="s">
        <v>27</v>
      </c>
      <c r="J31" s="59" t="s">
        <v>27</v>
      </c>
      <c r="K31" s="60" t="s">
        <v>33</v>
      </c>
      <c r="L31" s="60" t="s">
        <v>33</v>
      </c>
      <c r="M31" s="60" t="s">
        <v>33</v>
      </c>
      <c r="N31" s="60" t="s">
        <v>33</v>
      </c>
      <c r="O31" s="59">
        <f t="shared" si="0"/>
        <v>5</v>
      </c>
      <c r="P31" s="53">
        <f>O31/13</f>
        <v>0.38461538461538464</v>
      </c>
      <c r="Q31" s="58" t="s">
        <v>34</v>
      </c>
      <c r="R31" s="61" t="s">
        <v>29</v>
      </c>
      <c r="S31" s="57" t="s">
        <v>182</v>
      </c>
      <c r="T31" s="57" t="s">
        <v>183</v>
      </c>
      <c r="U31" s="57" t="s">
        <v>692</v>
      </c>
    </row>
    <row r="32" spans="1:21" ht="14.5" customHeight="1">
      <c r="A32" s="57" t="s">
        <v>427</v>
      </c>
      <c r="B32" s="60" t="s">
        <v>33</v>
      </c>
      <c r="C32" s="60" t="s">
        <v>33</v>
      </c>
      <c r="D32" s="59" t="s">
        <v>27</v>
      </c>
      <c r="E32" s="60" t="s">
        <v>33</v>
      </c>
      <c r="F32" s="60" t="s">
        <v>33</v>
      </c>
      <c r="G32" s="59" t="s">
        <v>27</v>
      </c>
      <c r="H32" s="60" t="s">
        <v>33</v>
      </c>
      <c r="I32" s="59" t="s">
        <v>27</v>
      </c>
      <c r="J32" s="60" t="s">
        <v>33</v>
      </c>
      <c r="K32" s="60" t="s">
        <v>33</v>
      </c>
      <c r="L32" s="60" t="s">
        <v>33</v>
      </c>
      <c r="M32" s="60" t="s">
        <v>33</v>
      </c>
      <c r="N32" s="60" t="s">
        <v>33</v>
      </c>
      <c r="O32" s="59">
        <f t="shared" si="0"/>
        <v>3</v>
      </c>
      <c r="P32" s="53">
        <f t="shared" ref="P32:P33" si="5">O32/13</f>
        <v>0.23076923076923078</v>
      </c>
      <c r="Q32" s="58" t="s">
        <v>34</v>
      </c>
      <c r="R32" s="61" t="s">
        <v>29</v>
      </c>
      <c r="S32" s="57" t="s">
        <v>182</v>
      </c>
      <c r="T32" s="57" t="s">
        <v>183</v>
      </c>
      <c r="U32" s="57" t="s">
        <v>692</v>
      </c>
    </row>
    <row r="33" spans="1:21" ht="14.5" customHeight="1">
      <c r="A33" s="57" t="s">
        <v>428</v>
      </c>
      <c r="B33" s="60" t="s">
        <v>33</v>
      </c>
      <c r="C33" s="60" t="s">
        <v>33</v>
      </c>
      <c r="D33" s="60" t="s">
        <v>33</v>
      </c>
      <c r="E33" s="60" t="s">
        <v>33</v>
      </c>
      <c r="F33" s="59" t="s">
        <v>27</v>
      </c>
      <c r="G33" s="60" t="s">
        <v>33</v>
      </c>
      <c r="H33" s="59" t="s">
        <v>27</v>
      </c>
      <c r="I33" s="60" t="s">
        <v>33</v>
      </c>
      <c r="J33" s="60" t="s">
        <v>33</v>
      </c>
      <c r="K33" s="60" t="s">
        <v>33</v>
      </c>
      <c r="L33" s="60" t="s">
        <v>33</v>
      </c>
      <c r="M33" s="60" t="s">
        <v>33</v>
      </c>
      <c r="N33" s="60" t="s">
        <v>33</v>
      </c>
      <c r="O33" s="59">
        <f t="shared" si="0"/>
        <v>2</v>
      </c>
      <c r="P33" s="53">
        <f t="shared" si="5"/>
        <v>0.15384615384615385</v>
      </c>
      <c r="Q33" s="58" t="s">
        <v>34</v>
      </c>
      <c r="R33" s="61" t="s">
        <v>29</v>
      </c>
      <c r="S33" s="57" t="s">
        <v>182</v>
      </c>
      <c r="T33" s="57" t="s">
        <v>183</v>
      </c>
      <c r="U33" s="57" t="s">
        <v>692</v>
      </c>
    </row>
    <row r="34" spans="1:21" s="73" customFormat="1" ht="14.5" customHeight="1">
      <c r="A34" s="75" t="s">
        <v>429</v>
      </c>
      <c r="B34" s="76" t="s">
        <v>332</v>
      </c>
      <c r="C34" s="76" t="s">
        <v>332</v>
      </c>
      <c r="D34" s="76" t="s">
        <v>332</v>
      </c>
      <c r="E34" s="76" t="s">
        <v>332</v>
      </c>
      <c r="F34" s="76" t="s">
        <v>332</v>
      </c>
      <c r="G34" s="76" t="s">
        <v>332</v>
      </c>
      <c r="H34" s="76" t="s">
        <v>332</v>
      </c>
      <c r="I34" s="76" t="s">
        <v>332</v>
      </c>
      <c r="J34" s="76" t="s">
        <v>332</v>
      </c>
      <c r="K34" s="76" t="s">
        <v>332</v>
      </c>
      <c r="L34" s="76" t="s">
        <v>332</v>
      </c>
      <c r="M34" s="76"/>
      <c r="N34" s="76"/>
      <c r="O34" s="76"/>
      <c r="P34" s="77"/>
      <c r="Q34" s="78"/>
      <c r="R34" s="84"/>
      <c r="S34" s="78"/>
      <c r="T34" s="78"/>
      <c r="U34" s="78"/>
    </row>
    <row r="35" spans="1:21" ht="14.5" customHeight="1">
      <c r="A35" s="57" t="s">
        <v>430</v>
      </c>
      <c r="B35" s="59" t="s">
        <v>27</v>
      </c>
      <c r="C35" s="60" t="s">
        <v>33</v>
      </c>
      <c r="D35" s="60" t="s">
        <v>33</v>
      </c>
      <c r="E35" s="60" t="s">
        <v>33</v>
      </c>
      <c r="F35" s="59" t="s">
        <v>27</v>
      </c>
      <c r="G35" s="59" t="s">
        <v>27</v>
      </c>
      <c r="H35" s="60" t="s">
        <v>33</v>
      </c>
      <c r="I35" s="59" t="s">
        <v>27</v>
      </c>
      <c r="J35" s="60" t="s">
        <v>33</v>
      </c>
      <c r="K35" s="60" t="s">
        <v>33</v>
      </c>
      <c r="L35" s="60" t="s">
        <v>33</v>
      </c>
      <c r="M35" s="59" t="s">
        <v>27</v>
      </c>
      <c r="N35" s="60" t="s">
        <v>33</v>
      </c>
      <c r="O35" s="59">
        <f t="shared" si="0"/>
        <v>5</v>
      </c>
      <c r="P35" s="53">
        <f>O35/13</f>
        <v>0.38461538461538464</v>
      </c>
      <c r="Q35" s="58" t="s">
        <v>34</v>
      </c>
      <c r="R35" s="61" t="s">
        <v>29</v>
      </c>
      <c r="S35" s="57" t="s">
        <v>182</v>
      </c>
      <c r="T35" s="57" t="s">
        <v>183</v>
      </c>
      <c r="U35" s="57" t="s">
        <v>692</v>
      </c>
    </row>
    <row r="36" spans="1:21" ht="14.5" customHeight="1">
      <c r="A36" s="57" t="s">
        <v>432</v>
      </c>
      <c r="B36" s="59" t="s">
        <v>27</v>
      </c>
      <c r="C36" s="60" t="s">
        <v>33</v>
      </c>
      <c r="D36" s="59" t="s">
        <v>27</v>
      </c>
      <c r="E36" s="60" t="s">
        <v>33</v>
      </c>
      <c r="F36" s="60" t="s">
        <v>33</v>
      </c>
      <c r="G36" s="59" t="s">
        <v>27</v>
      </c>
      <c r="H36" s="60" t="s">
        <v>33</v>
      </c>
      <c r="I36" s="59" t="s">
        <v>27</v>
      </c>
      <c r="J36" s="60" t="s">
        <v>33</v>
      </c>
      <c r="K36" s="60" t="s">
        <v>33</v>
      </c>
      <c r="L36" s="60" t="s">
        <v>33</v>
      </c>
      <c r="M36" s="59" t="s">
        <v>27</v>
      </c>
      <c r="N36" s="60" t="s">
        <v>33</v>
      </c>
      <c r="O36" s="59">
        <f>COUNTIF(B36:N36,"✔")</f>
        <v>5</v>
      </c>
      <c r="P36" s="53">
        <f>O36/13</f>
        <v>0.38461538461538464</v>
      </c>
      <c r="Q36" s="58" t="s">
        <v>34</v>
      </c>
      <c r="R36" s="61" t="s">
        <v>29</v>
      </c>
      <c r="S36" s="57" t="s">
        <v>182</v>
      </c>
      <c r="T36" s="57" t="s">
        <v>183</v>
      </c>
      <c r="U36" s="57" t="s">
        <v>692</v>
      </c>
    </row>
    <row r="37" spans="1:21" ht="14.5" customHeight="1">
      <c r="A37" s="57" t="s">
        <v>431</v>
      </c>
      <c r="B37" s="59" t="s">
        <v>27</v>
      </c>
      <c r="C37" s="60" t="s">
        <v>33</v>
      </c>
      <c r="D37" s="59" t="s">
        <v>27</v>
      </c>
      <c r="E37" s="60" t="s">
        <v>33</v>
      </c>
      <c r="F37" s="60" t="s">
        <v>33</v>
      </c>
      <c r="G37" s="59" t="s">
        <v>27</v>
      </c>
      <c r="H37" s="60" t="s">
        <v>33</v>
      </c>
      <c r="I37" s="59" t="s">
        <v>27</v>
      </c>
      <c r="J37" s="60" t="s">
        <v>33</v>
      </c>
      <c r="K37" s="60" t="s">
        <v>33</v>
      </c>
      <c r="L37" s="60" t="s">
        <v>33</v>
      </c>
      <c r="M37" s="60" t="s">
        <v>33</v>
      </c>
      <c r="N37" s="60" t="s">
        <v>33</v>
      </c>
      <c r="O37" s="59">
        <f t="shared" si="0"/>
        <v>4</v>
      </c>
      <c r="P37" s="53">
        <f t="shared" ref="P37" si="6">O37/13</f>
        <v>0.30769230769230771</v>
      </c>
      <c r="Q37" s="58" t="s">
        <v>34</v>
      </c>
      <c r="R37" s="61" t="s">
        <v>29</v>
      </c>
      <c r="S37" s="57" t="s">
        <v>182</v>
      </c>
      <c r="T37" s="57" t="s">
        <v>183</v>
      </c>
      <c r="U37" s="57" t="s">
        <v>692</v>
      </c>
    </row>
    <row r="38" spans="1:21" s="73" customFormat="1" ht="14.5" customHeight="1">
      <c r="A38" s="75" t="s">
        <v>433</v>
      </c>
      <c r="B38" s="76" t="s">
        <v>332</v>
      </c>
      <c r="C38" s="76" t="s">
        <v>332</v>
      </c>
      <c r="D38" s="76" t="s">
        <v>332</v>
      </c>
      <c r="E38" s="76" t="s">
        <v>332</v>
      </c>
      <c r="F38" s="76" t="s">
        <v>332</v>
      </c>
      <c r="G38" s="76" t="s">
        <v>332</v>
      </c>
      <c r="H38" s="76" t="s">
        <v>332</v>
      </c>
      <c r="I38" s="76" t="s">
        <v>332</v>
      </c>
      <c r="J38" s="76" t="s">
        <v>332</v>
      </c>
      <c r="K38" s="76" t="s">
        <v>332</v>
      </c>
      <c r="L38" s="76" t="s">
        <v>332</v>
      </c>
      <c r="M38" s="76"/>
      <c r="N38" s="76"/>
      <c r="O38" s="76"/>
      <c r="P38" s="77"/>
      <c r="Q38" s="78"/>
      <c r="R38" s="84"/>
      <c r="S38" s="78"/>
      <c r="T38" s="78"/>
      <c r="U38" s="78"/>
    </row>
    <row r="39" spans="1:21" ht="14.5" customHeight="1">
      <c r="A39" s="57" t="s">
        <v>434</v>
      </c>
      <c r="B39" s="59" t="s">
        <v>27</v>
      </c>
      <c r="C39" s="60" t="s">
        <v>33</v>
      </c>
      <c r="D39" s="60" t="s">
        <v>33</v>
      </c>
      <c r="E39" s="59" t="s">
        <v>27</v>
      </c>
      <c r="F39" s="60" t="s">
        <v>33</v>
      </c>
      <c r="G39" s="59" t="s">
        <v>27</v>
      </c>
      <c r="H39" s="59" t="s">
        <v>27</v>
      </c>
      <c r="I39" s="59" t="s">
        <v>27</v>
      </c>
      <c r="J39" s="60" t="s">
        <v>33</v>
      </c>
      <c r="K39" s="60" t="s">
        <v>33</v>
      </c>
      <c r="L39" s="60" t="s">
        <v>33</v>
      </c>
      <c r="M39" s="59" t="s">
        <v>27</v>
      </c>
      <c r="N39" s="60" t="s">
        <v>33</v>
      </c>
      <c r="O39" s="59">
        <f t="shared" si="0"/>
        <v>6</v>
      </c>
      <c r="P39" s="53">
        <f>O39/13</f>
        <v>0.46153846153846156</v>
      </c>
      <c r="Q39" s="58" t="s">
        <v>34</v>
      </c>
      <c r="R39" s="85" t="s">
        <v>37</v>
      </c>
      <c r="S39" s="58" t="s">
        <v>695</v>
      </c>
      <c r="T39" s="58" t="s">
        <v>435</v>
      </c>
      <c r="U39" s="50" t="s">
        <v>38</v>
      </c>
    </row>
    <row r="40" spans="1:21" ht="14.5" customHeight="1">
      <c r="A40" s="57" t="s">
        <v>437</v>
      </c>
      <c r="B40" s="59" t="s">
        <v>27</v>
      </c>
      <c r="C40" s="60" t="s">
        <v>33</v>
      </c>
      <c r="D40" s="60" t="s">
        <v>33</v>
      </c>
      <c r="E40" s="59" t="s">
        <v>27</v>
      </c>
      <c r="F40" s="60" t="s">
        <v>33</v>
      </c>
      <c r="G40" s="60" t="s">
        <v>33</v>
      </c>
      <c r="H40" s="59" t="s">
        <v>27</v>
      </c>
      <c r="I40" s="60" t="s">
        <v>33</v>
      </c>
      <c r="J40" s="60" t="s">
        <v>33</v>
      </c>
      <c r="K40" s="60" t="s">
        <v>33</v>
      </c>
      <c r="L40" s="60" t="s">
        <v>33</v>
      </c>
      <c r="M40" s="59" t="s">
        <v>27</v>
      </c>
      <c r="N40" s="60" t="s">
        <v>33</v>
      </c>
      <c r="O40" s="59">
        <f>COUNTIF(B40:N40,"✔")</f>
        <v>4</v>
      </c>
      <c r="P40" s="53">
        <f>O40/13</f>
        <v>0.30769230769230771</v>
      </c>
      <c r="Q40" s="58" t="s">
        <v>34</v>
      </c>
      <c r="R40" s="85" t="s">
        <v>29</v>
      </c>
      <c r="S40" s="58" t="s">
        <v>50</v>
      </c>
      <c r="T40" s="58" t="s">
        <v>231</v>
      </c>
      <c r="U40" s="50" t="s">
        <v>289</v>
      </c>
    </row>
    <row r="41" spans="1:21" ht="14.5" customHeight="1">
      <c r="A41" s="57" t="s">
        <v>436</v>
      </c>
      <c r="B41" s="60" t="s">
        <v>33</v>
      </c>
      <c r="C41" s="60" t="s">
        <v>33</v>
      </c>
      <c r="D41" s="60" t="s">
        <v>33</v>
      </c>
      <c r="E41" s="60" t="s">
        <v>33</v>
      </c>
      <c r="F41" s="60" t="s">
        <v>33</v>
      </c>
      <c r="G41" s="60" t="s">
        <v>33</v>
      </c>
      <c r="H41" s="59" t="s">
        <v>27</v>
      </c>
      <c r="I41" s="60" t="s">
        <v>33</v>
      </c>
      <c r="J41" s="59" t="s">
        <v>27</v>
      </c>
      <c r="K41" s="60" t="s">
        <v>33</v>
      </c>
      <c r="L41" s="60" t="s">
        <v>33</v>
      </c>
      <c r="M41" s="60" t="s">
        <v>33</v>
      </c>
      <c r="N41" s="60" t="s">
        <v>33</v>
      </c>
      <c r="O41" s="59">
        <f t="shared" si="0"/>
        <v>2</v>
      </c>
      <c r="P41" s="53">
        <f t="shared" ref="P41" si="7">O41/13</f>
        <v>0.15384615384615385</v>
      </c>
      <c r="Q41" s="61"/>
      <c r="R41" s="61" t="s">
        <v>33</v>
      </c>
      <c r="S41" s="61"/>
      <c r="T41" s="61"/>
      <c r="U41" s="6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467E-D77E-4BB3-B92B-4EE140B5AEF9}">
  <sheetPr codeName="Sheet8"/>
  <dimension ref="A1:U31"/>
  <sheetViews>
    <sheetView zoomScale="70" zoomScaleNormal="70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R33" sqref="A1:XFD1048576"/>
    </sheetView>
  </sheetViews>
  <sheetFormatPr defaultRowHeight="14.6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54" t="s">
        <v>438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439</v>
      </c>
      <c r="B2" s="78" t="s">
        <v>332</v>
      </c>
      <c r="C2" s="78" t="s">
        <v>332</v>
      </c>
      <c r="D2" s="78" t="s">
        <v>332</v>
      </c>
      <c r="E2" s="78" t="s">
        <v>332</v>
      </c>
      <c r="F2" s="78" t="s">
        <v>332</v>
      </c>
      <c r="G2" s="78" t="s">
        <v>332</v>
      </c>
      <c r="H2" s="78" t="s">
        <v>332</v>
      </c>
      <c r="I2" s="78" t="s">
        <v>332</v>
      </c>
      <c r="J2" s="78" t="s">
        <v>332</v>
      </c>
      <c r="K2" s="78" t="s">
        <v>332</v>
      </c>
      <c r="L2" s="78" t="s">
        <v>332</v>
      </c>
      <c r="M2" s="78"/>
      <c r="N2" s="78" t="s">
        <v>332</v>
      </c>
      <c r="O2" s="78"/>
      <c r="P2" s="78"/>
      <c r="Q2" s="78"/>
      <c r="R2" s="78"/>
      <c r="S2" s="78"/>
      <c r="T2" s="78"/>
      <c r="U2" s="78"/>
    </row>
    <row r="3" spans="1:21" ht="14.5" customHeight="1">
      <c r="A3" s="57" t="s">
        <v>440</v>
      </c>
      <c r="B3" s="59" t="s">
        <v>27</v>
      </c>
      <c r="C3" s="59" t="s">
        <v>27</v>
      </c>
      <c r="D3" s="59" t="s">
        <v>27</v>
      </c>
      <c r="E3" s="59" t="s">
        <v>27</v>
      </c>
      <c r="F3" s="59" t="s">
        <v>27</v>
      </c>
      <c r="G3" s="59" t="s">
        <v>27</v>
      </c>
      <c r="H3" s="59" t="s">
        <v>27</v>
      </c>
      <c r="I3" s="59" t="s">
        <v>27</v>
      </c>
      <c r="J3" s="59" t="s">
        <v>27</v>
      </c>
      <c r="K3" s="59" t="s">
        <v>27</v>
      </c>
      <c r="L3" s="59" t="s">
        <v>27</v>
      </c>
      <c r="M3" s="59" t="s">
        <v>27</v>
      </c>
      <c r="N3" s="59" t="s">
        <v>27</v>
      </c>
      <c r="O3" s="59">
        <f>COUNTIF(B3:N3,"✔")</f>
        <v>13</v>
      </c>
      <c r="P3" s="53">
        <f>O3/13</f>
        <v>1</v>
      </c>
      <c r="Q3" s="62" t="s">
        <v>34</v>
      </c>
      <c r="R3" s="62" t="s">
        <v>37</v>
      </c>
      <c r="S3" s="62" t="s">
        <v>441</v>
      </c>
      <c r="T3" s="62" t="s">
        <v>442</v>
      </c>
      <c r="U3" s="62" t="s">
        <v>443</v>
      </c>
    </row>
    <row r="4" spans="1:21" ht="14.5" customHeight="1">
      <c r="A4" s="57" t="s">
        <v>444</v>
      </c>
      <c r="B4" s="59" t="s">
        <v>27</v>
      </c>
      <c r="C4" s="59" t="s">
        <v>27</v>
      </c>
      <c r="D4" s="59" t="s">
        <v>27</v>
      </c>
      <c r="E4" s="59" t="s">
        <v>27</v>
      </c>
      <c r="F4" s="59" t="s">
        <v>27</v>
      </c>
      <c r="G4" s="59" t="s">
        <v>27</v>
      </c>
      <c r="H4" s="60" t="s">
        <v>33</v>
      </c>
      <c r="I4" s="59" t="s">
        <v>27</v>
      </c>
      <c r="J4" s="59" t="s">
        <v>27</v>
      </c>
      <c r="K4" s="59" t="s">
        <v>27</v>
      </c>
      <c r="L4" s="60" t="s">
        <v>33</v>
      </c>
      <c r="M4" s="59" t="s">
        <v>27</v>
      </c>
      <c r="N4" s="59" t="s">
        <v>27</v>
      </c>
      <c r="O4" s="59">
        <f t="shared" ref="O4:O27" si="0">COUNTIF(B4:N4,"✔")</f>
        <v>11</v>
      </c>
      <c r="P4" s="53">
        <f t="shared" ref="P4:P8" si="1">O4/13</f>
        <v>0.84615384615384615</v>
      </c>
      <c r="Q4" s="62" t="s">
        <v>34</v>
      </c>
      <c r="R4" s="62" t="s">
        <v>37</v>
      </c>
      <c r="S4" s="62" t="s">
        <v>441</v>
      </c>
      <c r="T4" s="62" t="s">
        <v>445</v>
      </c>
      <c r="U4" s="62" t="s">
        <v>145</v>
      </c>
    </row>
    <row r="5" spans="1:21" ht="14.5" customHeight="1">
      <c r="A5" s="57" t="s">
        <v>446</v>
      </c>
      <c r="B5" s="59" t="s">
        <v>27</v>
      </c>
      <c r="C5" s="59" t="s">
        <v>27</v>
      </c>
      <c r="D5" s="59" t="s">
        <v>27</v>
      </c>
      <c r="E5" s="59" t="s">
        <v>27</v>
      </c>
      <c r="F5" s="59" t="s">
        <v>27</v>
      </c>
      <c r="G5" s="59" t="s">
        <v>27</v>
      </c>
      <c r="H5" s="59" t="s">
        <v>27</v>
      </c>
      <c r="I5" s="60" t="s">
        <v>33</v>
      </c>
      <c r="J5" s="59" t="s">
        <v>27</v>
      </c>
      <c r="K5" s="59" t="s">
        <v>27</v>
      </c>
      <c r="L5" s="59" t="s">
        <v>27</v>
      </c>
      <c r="M5" s="59" t="s">
        <v>27</v>
      </c>
      <c r="N5" s="59" t="s">
        <v>27</v>
      </c>
      <c r="O5" s="59">
        <f t="shared" si="0"/>
        <v>12</v>
      </c>
      <c r="P5" s="53">
        <f t="shared" si="1"/>
        <v>0.92307692307692313</v>
      </c>
      <c r="Q5" s="62" t="s">
        <v>34</v>
      </c>
      <c r="R5" s="89" t="s">
        <v>37</v>
      </c>
      <c r="S5" s="89" t="s">
        <v>441</v>
      </c>
      <c r="T5" s="89" t="s">
        <v>100</v>
      </c>
      <c r="U5" s="89" t="s">
        <v>691</v>
      </c>
    </row>
    <row r="6" spans="1:21" ht="14.5" customHeight="1">
      <c r="A6" s="57"/>
      <c r="B6" s="59"/>
      <c r="C6" s="59"/>
      <c r="D6" s="59"/>
      <c r="E6" s="59"/>
      <c r="F6" s="59"/>
      <c r="G6" s="59"/>
      <c r="H6" s="59"/>
      <c r="I6" s="60"/>
      <c r="J6" s="59"/>
      <c r="K6" s="59"/>
      <c r="L6" s="59"/>
      <c r="M6" s="59"/>
      <c r="N6" s="59"/>
      <c r="O6" s="59"/>
      <c r="P6" s="53"/>
      <c r="Q6" s="62" t="s">
        <v>34</v>
      </c>
      <c r="R6" s="62" t="s">
        <v>37</v>
      </c>
      <c r="S6" s="62" t="s">
        <v>441</v>
      </c>
      <c r="T6" s="62" t="s">
        <v>447</v>
      </c>
      <c r="U6" s="62" t="s">
        <v>38</v>
      </c>
    </row>
    <row r="7" spans="1:21" ht="14.5" customHeight="1">
      <c r="A7" s="57" t="s">
        <v>448</v>
      </c>
      <c r="B7" s="59" t="s">
        <v>27</v>
      </c>
      <c r="C7" s="59" t="s">
        <v>27</v>
      </c>
      <c r="D7" s="59" t="s">
        <v>27</v>
      </c>
      <c r="E7" s="60" t="s">
        <v>33</v>
      </c>
      <c r="F7" s="59" t="s">
        <v>27</v>
      </c>
      <c r="G7" s="59" t="s">
        <v>27</v>
      </c>
      <c r="H7" s="60" t="s">
        <v>33</v>
      </c>
      <c r="I7" s="60" t="s">
        <v>33</v>
      </c>
      <c r="J7" s="59" t="s">
        <v>27</v>
      </c>
      <c r="K7" s="59" t="s">
        <v>27</v>
      </c>
      <c r="L7" s="60" t="s">
        <v>33</v>
      </c>
      <c r="M7" s="59" t="s">
        <v>27</v>
      </c>
      <c r="N7" s="59" t="s">
        <v>27</v>
      </c>
      <c r="O7" s="59">
        <f t="shared" si="0"/>
        <v>9</v>
      </c>
      <c r="P7" s="53">
        <f t="shared" si="1"/>
        <v>0.69230769230769229</v>
      </c>
      <c r="Q7" s="62" t="s">
        <v>34</v>
      </c>
      <c r="R7" s="62" t="s">
        <v>29</v>
      </c>
      <c r="S7" s="62" t="s">
        <v>66</v>
      </c>
      <c r="T7" s="62" t="s">
        <v>124</v>
      </c>
      <c r="U7" s="62" t="s">
        <v>303</v>
      </c>
    </row>
    <row r="8" spans="1:21" ht="14.5" customHeight="1">
      <c r="A8" s="57" t="s">
        <v>449</v>
      </c>
      <c r="B8" s="59" t="s">
        <v>27</v>
      </c>
      <c r="C8" s="60" t="s">
        <v>33</v>
      </c>
      <c r="D8" s="59" t="s">
        <v>27</v>
      </c>
      <c r="E8" s="59" t="s">
        <v>27</v>
      </c>
      <c r="F8" s="59" t="s">
        <v>27</v>
      </c>
      <c r="G8" s="59" t="s">
        <v>27</v>
      </c>
      <c r="H8" s="60" t="s">
        <v>33</v>
      </c>
      <c r="I8" s="60" t="s">
        <v>33</v>
      </c>
      <c r="J8" s="60" t="s">
        <v>33</v>
      </c>
      <c r="K8" s="60" t="s">
        <v>33</v>
      </c>
      <c r="L8" s="59" t="s">
        <v>27</v>
      </c>
      <c r="M8" s="59" t="s">
        <v>27</v>
      </c>
      <c r="N8" s="60" t="s">
        <v>33</v>
      </c>
      <c r="O8" s="59">
        <f t="shared" si="0"/>
        <v>7</v>
      </c>
      <c r="P8" s="53">
        <f t="shared" si="1"/>
        <v>0.53846153846153844</v>
      </c>
      <c r="Q8" s="62" t="s">
        <v>34</v>
      </c>
      <c r="R8" s="62" t="s">
        <v>29</v>
      </c>
      <c r="S8" s="62" t="s">
        <v>50</v>
      </c>
      <c r="T8" s="62" t="s">
        <v>231</v>
      </c>
      <c r="U8" s="62" t="s">
        <v>289</v>
      </c>
    </row>
    <row r="9" spans="1:21" s="73" customFormat="1" ht="14.5" customHeight="1">
      <c r="A9" s="75" t="s">
        <v>450</v>
      </c>
      <c r="B9" s="76" t="s">
        <v>332</v>
      </c>
      <c r="C9" s="76" t="s">
        <v>332</v>
      </c>
      <c r="D9" s="76" t="s">
        <v>332</v>
      </c>
      <c r="E9" s="76" t="s">
        <v>332</v>
      </c>
      <c r="F9" s="76" t="s">
        <v>332</v>
      </c>
      <c r="G9" s="76" t="s">
        <v>332</v>
      </c>
      <c r="H9" s="76" t="s">
        <v>332</v>
      </c>
      <c r="I9" s="76" t="s">
        <v>332</v>
      </c>
      <c r="J9" s="76" t="s">
        <v>332</v>
      </c>
      <c r="K9" s="76" t="s">
        <v>332</v>
      </c>
      <c r="L9" s="76" t="s">
        <v>332</v>
      </c>
      <c r="M9" s="76"/>
      <c r="N9" s="76" t="s">
        <v>332</v>
      </c>
      <c r="O9" s="76"/>
      <c r="P9" s="77"/>
      <c r="Q9" s="78"/>
      <c r="R9" s="78"/>
      <c r="S9" s="78"/>
      <c r="T9" s="78"/>
      <c r="U9" s="78"/>
    </row>
    <row r="10" spans="1:21" ht="14.5" customHeight="1">
      <c r="A10" s="57" t="s">
        <v>451</v>
      </c>
      <c r="B10" s="59" t="s">
        <v>27</v>
      </c>
      <c r="C10" s="59" t="s">
        <v>27</v>
      </c>
      <c r="D10" s="59" t="s">
        <v>27</v>
      </c>
      <c r="E10" s="59" t="s">
        <v>27</v>
      </c>
      <c r="F10" s="59" t="s">
        <v>27</v>
      </c>
      <c r="G10" s="59" t="s">
        <v>27</v>
      </c>
      <c r="H10" s="60" t="s">
        <v>33</v>
      </c>
      <c r="I10" s="60" t="s">
        <v>33</v>
      </c>
      <c r="J10" s="59" t="s">
        <v>27</v>
      </c>
      <c r="K10" s="59" t="s">
        <v>27</v>
      </c>
      <c r="L10" s="60" t="s">
        <v>33</v>
      </c>
      <c r="M10" s="60" t="s">
        <v>33</v>
      </c>
      <c r="N10" s="59" t="s">
        <v>27</v>
      </c>
      <c r="O10" s="59">
        <f t="shared" si="0"/>
        <v>9</v>
      </c>
      <c r="P10" s="53">
        <f>O10/13</f>
        <v>0.69230769230769229</v>
      </c>
      <c r="Q10" s="62" t="s">
        <v>34</v>
      </c>
      <c r="R10" s="62" t="s">
        <v>265</v>
      </c>
      <c r="S10" s="62" t="s">
        <v>266</v>
      </c>
      <c r="T10" s="62" t="s">
        <v>124</v>
      </c>
      <c r="U10" s="62" t="s">
        <v>683</v>
      </c>
    </row>
    <row r="11" spans="1:21" ht="14.5" customHeight="1">
      <c r="A11" s="57"/>
      <c r="B11" s="59"/>
      <c r="C11" s="59"/>
      <c r="D11" s="59"/>
      <c r="E11" s="59"/>
      <c r="F11" s="59"/>
      <c r="G11" s="59"/>
      <c r="H11" s="60"/>
      <c r="I11" s="60"/>
      <c r="J11" s="59"/>
      <c r="K11" s="59"/>
      <c r="L11" s="60"/>
      <c r="M11" s="60"/>
      <c r="N11" s="59"/>
      <c r="O11" s="59"/>
      <c r="P11" s="53"/>
      <c r="Q11" s="62" t="s">
        <v>34</v>
      </c>
      <c r="R11" s="62" t="s">
        <v>265</v>
      </c>
      <c r="S11" s="62" t="s">
        <v>266</v>
      </c>
      <c r="T11" s="62" t="s">
        <v>310</v>
      </c>
      <c r="U11" s="62" t="s">
        <v>145</v>
      </c>
    </row>
    <row r="12" spans="1:21" ht="14.5" customHeight="1">
      <c r="A12" s="57" t="s">
        <v>452</v>
      </c>
      <c r="B12" s="59" t="s">
        <v>27</v>
      </c>
      <c r="C12" s="59" t="s">
        <v>27</v>
      </c>
      <c r="D12" s="59" t="s">
        <v>27</v>
      </c>
      <c r="E12" s="59" t="s">
        <v>27</v>
      </c>
      <c r="F12" s="59" t="s">
        <v>27</v>
      </c>
      <c r="G12" s="59" t="s">
        <v>27</v>
      </c>
      <c r="H12" s="60" t="s">
        <v>33</v>
      </c>
      <c r="I12" s="60" t="s">
        <v>33</v>
      </c>
      <c r="J12" s="59" t="s">
        <v>27</v>
      </c>
      <c r="K12" s="59" t="s">
        <v>27</v>
      </c>
      <c r="L12" s="60" t="s">
        <v>33</v>
      </c>
      <c r="M12" s="59" t="s">
        <v>27</v>
      </c>
      <c r="N12" s="59" t="s">
        <v>27</v>
      </c>
      <c r="O12" s="59">
        <f t="shared" si="0"/>
        <v>10</v>
      </c>
      <c r="P12" s="53">
        <f t="shared" ref="P12:P22" si="2">O12/13</f>
        <v>0.76923076923076927</v>
      </c>
      <c r="Q12" s="62" t="s">
        <v>34</v>
      </c>
      <c r="R12" s="62" t="s">
        <v>265</v>
      </c>
      <c r="S12" s="62" t="s">
        <v>266</v>
      </c>
      <c r="T12" s="62" t="s">
        <v>124</v>
      </c>
      <c r="U12" s="62" t="s">
        <v>683</v>
      </c>
    </row>
    <row r="13" spans="1:21" ht="14.5" customHeight="1">
      <c r="A13" s="57"/>
      <c r="B13" s="59"/>
      <c r="C13" s="59"/>
      <c r="D13" s="59"/>
      <c r="E13" s="59"/>
      <c r="F13" s="59"/>
      <c r="G13" s="59"/>
      <c r="H13" s="60"/>
      <c r="I13" s="60"/>
      <c r="J13" s="59"/>
      <c r="K13" s="59"/>
      <c r="L13" s="60"/>
      <c r="M13" s="59"/>
      <c r="N13" s="59"/>
      <c r="O13" s="59"/>
      <c r="P13" s="53"/>
      <c r="Q13" s="62" t="s">
        <v>34</v>
      </c>
      <c r="R13" s="62" t="s">
        <v>265</v>
      </c>
      <c r="S13" s="62" t="s">
        <v>266</v>
      </c>
      <c r="T13" s="62" t="s">
        <v>310</v>
      </c>
      <c r="U13" s="62" t="s">
        <v>145</v>
      </c>
    </row>
    <row r="14" spans="1:21" ht="14.5" customHeight="1">
      <c r="A14" s="57" t="s">
        <v>453</v>
      </c>
      <c r="B14" s="59" t="s">
        <v>27</v>
      </c>
      <c r="C14" s="59" t="s">
        <v>27</v>
      </c>
      <c r="D14" s="59" t="s">
        <v>27</v>
      </c>
      <c r="E14" s="59" t="s">
        <v>27</v>
      </c>
      <c r="F14" s="60" t="s">
        <v>33</v>
      </c>
      <c r="G14" s="59" t="s">
        <v>27</v>
      </c>
      <c r="H14" s="60" t="s">
        <v>33</v>
      </c>
      <c r="I14" s="59" t="s">
        <v>27</v>
      </c>
      <c r="J14" s="59" t="s">
        <v>27</v>
      </c>
      <c r="K14" s="59" t="s">
        <v>27</v>
      </c>
      <c r="L14" s="60" t="s">
        <v>33</v>
      </c>
      <c r="M14" s="60" t="s">
        <v>33</v>
      </c>
      <c r="N14" s="59" t="s">
        <v>27</v>
      </c>
      <c r="O14" s="59">
        <f t="shared" si="0"/>
        <v>9</v>
      </c>
      <c r="P14" s="53">
        <f t="shared" si="2"/>
        <v>0.69230769230769229</v>
      </c>
      <c r="Q14" s="62" t="s">
        <v>34</v>
      </c>
      <c r="R14" s="62" t="s">
        <v>265</v>
      </c>
      <c r="S14" s="62" t="s">
        <v>266</v>
      </c>
      <c r="T14" s="62" t="s">
        <v>684</v>
      </c>
      <c r="U14" s="62" t="s">
        <v>685</v>
      </c>
    </row>
    <row r="15" spans="1:21" ht="14.5" customHeight="1">
      <c r="A15" s="57"/>
      <c r="B15" s="59"/>
      <c r="C15" s="59"/>
      <c r="D15" s="59"/>
      <c r="E15" s="59"/>
      <c r="F15" s="60"/>
      <c r="G15" s="59"/>
      <c r="H15" s="60"/>
      <c r="I15" s="59"/>
      <c r="J15" s="59"/>
      <c r="K15" s="59"/>
      <c r="L15" s="60"/>
      <c r="M15" s="60"/>
      <c r="N15" s="59"/>
      <c r="O15" s="59"/>
      <c r="P15" s="53"/>
      <c r="Q15" s="62" t="s">
        <v>34</v>
      </c>
      <c r="R15" s="62" t="s">
        <v>265</v>
      </c>
      <c r="S15" s="62" t="s">
        <v>266</v>
      </c>
      <c r="T15" s="62" t="s">
        <v>310</v>
      </c>
      <c r="U15" s="62" t="s">
        <v>145</v>
      </c>
    </row>
    <row r="16" spans="1:21" ht="14.5" customHeight="1">
      <c r="A16" s="57" t="s">
        <v>454</v>
      </c>
      <c r="B16" s="59" t="s">
        <v>27</v>
      </c>
      <c r="C16" s="59" t="s">
        <v>27</v>
      </c>
      <c r="D16" s="59" t="s">
        <v>27</v>
      </c>
      <c r="E16" s="59" t="s">
        <v>27</v>
      </c>
      <c r="F16" s="60" t="s">
        <v>33</v>
      </c>
      <c r="G16" s="59" t="s">
        <v>27</v>
      </c>
      <c r="H16" s="60" t="s">
        <v>33</v>
      </c>
      <c r="I16" s="60" t="s">
        <v>33</v>
      </c>
      <c r="J16" s="59" t="s">
        <v>27</v>
      </c>
      <c r="K16" s="59" t="s">
        <v>27</v>
      </c>
      <c r="L16" s="60" t="s">
        <v>33</v>
      </c>
      <c r="M16" s="60" t="s">
        <v>33</v>
      </c>
      <c r="N16" s="60" t="s">
        <v>33</v>
      </c>
      <c r="O16" s="59">
        <f t="shared" si="0"/>
        <v>7</v>
      </c>
      <c r="P16" s="53">
        <f t="shared" si="2"/>
        <v>0.53846153846153844</v>
      </c>
      <c r="Q16" s="62" t="s">
        <v>34</v>
      </c>
      <c r="R16" s="62" t="s">
        <v>265</v>
      </c>
      <c r="S16" s="62" t="s">
        <v>266</v>
      </c>
      <c r="T16" s="62" t="s">
        <v>684</v>
      </c>
      <c r="U16" s="62" t="s">
        <v>685</v>
      </c>
    </row>
    <row r="17" spans="1:21" ht="14.5" customHeight="1">
      <c r="A17" s="57"/>
      <c r="B17" s="59"/>
      <c r="C17" s="59"/>
      <c r="D17" s="59"/>
      <c r="E17" s="59"/>
      <c r="F17" s="60"/>
      <c r="G17" s="59"/>
      <c r="H17" s="60"/>
      <c r="I17" s="60"/>
      <c r="J17" s="59"/>
      <c r="K17" s="59"/>
      <c r="L17" s="60"/>
      <c r="M17" s="60"/>
      <c r="N17" s="60"/>
      <c r="O17" s="59"/>
      <c r="P17" s="53"/>
      <c r="Q17" s="62" t="s">
        <v>34</v>
      </c>
      <c r="R17" s="62" t="s">
        <v>265</v>
      </c>
      <c r="S17" s="62" t="s">
        <v>266</v>
      </c>
      <c r="T17" s="62" t="s">
        <v>310</v>
      </c>
      <c r="U17" s="62" t="s">
        <v>145</v>
      </c>
    </row>
    <row r="18" spans="1:21" ht="14.5" customHeight="1">
      <c r="A18" s="57" t="s">
        <v>455</v>
      </c>
      <c r="B18" s="59" t="s">
        <v>27</v>
      </c>
      <c r="C18" s="59" t="s">
        <v>27</v>
      </c>
      <c r="D18" s="59" t="s">
        <v>27</v>
      </c>
      <c r="E18" s="59" t="s">
        <v>27</v>
      </c>
      <c r="F18" s="60" t="s">
        <v>33</v>
      </c>
      <c r="G18" s="59" t="s">
        <v>27</v>
      </c>
      <c r="H18" s="60" t="s">
        <v>33</v>
      </c>
      <c r="I18" s="60" t="s">
        <v>33</v>
      </c>
      <c r="J18" s="59" t="s">
        <v>27</v>
      </c>
      <c r="K18" s="59" t="s">
        <v>27</v>
      </c>
      <c r="L18" s="60" t="s">
        <v>33</v>
      </c>
      <c r="M18" s="60" t="s">
        <v>33</v>
      </c>
      <c r="N18" s="59" t="s">
        <v>27</v>
      </c>
      <c r="O18" s="59">
        <f t="shared" si="0"/>
        <v>8</v>
      </c>
      <c r="P18" s="53">
        <f t="shared" si="2"/>
        <v>0.61538461538461542</v>
      </c>
      <c r="Q18" s="62" t="s">
        <v>34</v>
      </c>
      <c r="R18" s="62" t="s">
        <v>265</v>
      </c>
      <c r="S18" s="62" t="s">
        <v>266</v>
      </c>
      <c r="T18" s="62" t="s">
        <v>684</v>
      </c>
      <c r="U18" s="62" t="s">
        <v>685</v>
      </c>
    </row>
    <row r="19" spans="1:21" ht="14.5" customHeight="1">
      <c r="A19" s="57"/>
      <c r="B19" s="59"/>
      <c r="C19" s="59"/>
      <c r="D19" s="59"/>
      <c r="E19" s="59"/>
      <c r="F19" s="60"/>
      <c r="G19" s="59"/>
      <c r="H19" s="60"/>
      <c r="I19" s="60"/>
      <c r="J19" s="59"/>
      <c r="K19" s="59"/>
      <c r="L19" s="60"/>
      <c r="M19" s="60"/>
      <c r="N19" s="59"/>
      <c r="O19" s="59"/>
      <c r="P19" s="53"/>
      <c r="Q19" s="62" t="s">
        <v>34</v>
      </c>
      <c r="R19" s="62" t="s">
        <v>265</v>
      </c>
      <c r="S19" s="62" t="s">
        <v>266</v>
      </c>
      <c r="T19" s="62" t="s">
        <v>310</v>
      </c>
      <c r="U19" s="62" t="s">
        <v>145</v>
      </c>
    </row>
    <row r="20" spans="1:21" ht="14.5" customHeight="1">
      <c r="A20" s="57" t="s">
        <v>456</v>
      </c>
      <c r="B20" s="59" t="s">
        <v>27</v>
      </c>
      <c r="C20" s="59" t="s">
        <v>27</v>
      </c>
      <c r="D20" s="59" t="s">
        <v>27</v>
      </c>
      <c r="E20" s="59" t="s">
        <v>27</v>
      </c>
      <c r="F20" s="60" t="s">
        <v>33</v>
      </c>
      <c r="G20" s="59" t="s">
        <v>27</v>
      </c>
      <c r="H20" s="60" t="s">
        <v>33</v>
      </c>
      <c r="I20" s="60" t="s">
        <v>33</v>
      </c>
      <c r="J20" s="59" t="s">
        <v>27</v>
      </c>
      <c r="K20" s="59" t="s">
        <v>27</v>
      </c>
      <c r="L20" s="60" t="s">
        <v>33</v>
      </c>
      <c r="M20" s="60" t="s">
        <v>33</v>
      </c>
      <c r="N20" s="59" t="s">
        <v>27</v>
      </c>
      <c r="O20" s="59">
        <f t="shared" si="0"/>
        <v>8</v>
      </c>
      <c r="P20" s="53">
        <f t="shared" si="2"/>
        <v>0.61538461538461542</v>
      </c>
      <c r="Q20" s="62" t="s">
        <v>34</v>
      </c>
      <c r="R20" s="62" t="s">
        <v>265</v>
      </c>
      <c r="S20" s="62" t="s">
        <v>266</v>
      </c>
      <c r="T20" s="62" t="s">
        <v>684</v>
      </c>
      <c r="U20" s="62" t="s">
        <v>685</v>
      </c>
    </row>
    <row r="21" spans="1:21" ht="14.5" customHeight="1">
      <c r="A21" s="57"/>
      <c r="B21" s="59"/>
      <c r="C21" s="59"/>
      <c r="D21" s="59"/>
      <c r="E21" s="59"/>
      <c r="F21" s="60"/>
      <c r="G21" s="59"/>
      <c r="H21" s="60"/>
      <c r="I21" s="60"/>
      <c r="J21" s="59"/>
      <c r="K21" s="59"/>
      <c r="L21" s="60"/>
      <c r="M21" s="60"/>
      <c r="N21" s="59"/>
      <c r="O21" s="59"/>
      <c r="P21" s="53"/>
      <c r="Q21" s="62" t="s">
        <v>34</v>
      </c>
      <c r="R21" s="62" t="s">
        <v>265</v>
      </c>
      <c r="S21" s="62" t="s">
        <v>266</v>
      </c>
      <c r="T21" s="62" t="s">
        <v>310</v>
      </c>
      <c r="U21" s="62" t="s">
        <v>145</v>
      </c>
    </row>
    <row r="22" spans="1:21" ht="14.5" customHeight="1">
      <c r="A22" s="57" t="s">
        <v>457</v>
      </c>
      <c r="B22" s="59" t="s">
        <v>27</v>
      </c>
      <c r="C22" s="59" t="s">
        <v>27</v>
      </c>
      <c r="D22" s="59" t="s">
        <v>27</v>
      </c>
      <c r="E22" s="59" t="s">
        <v>27</v>
      </c>
      <c r="F22" s="59" t="s">
        <v>27</v>
      </c>
      <c r="G22" s="59" t="s">
        <v>27</v>
      </c>
      <c r="H22" s="60" t="s">
        <v>33</v>
      </c>
      <c r="I22" s="59" t="s">
        <v>27</v>
      </c>
      <c r="J22" s="59" t="s">
        <v>27</v>
      </c>
      <c r="K22" s="59" t="s">
        <v>27</v>
      </c>
      <c r="L22" s="60" t="s">
        <v>33</v>
      </c>
      <c r="M22" s="60" t="s">
        <v>33</v>
      </c>
      <c r="N22" s="59" t="s">
        <v>27</v>
      </c>
      <c r="O22" s="59">
        <f t="shared" si="0"/>
        <v>10</v>
      </c>
      <c r="P22" s="53">
        <f t="shared" si="2"/>
        <v>0.76923076923076927</v>
      </c>
      <c r="Q22" s="62" t="s">
        <v>34</v>
      </c>
      <c r="R22" s="62" t="s">
        <v>44</v>
      </c>
      <c r="S22" s="62" t="s">
        <v>45</v>
      </c>
      <c r="T22" s="62" t="s">
        <v>317</v>
      </c>
      <c r="U22" s="62" t="s">
        <v>404</v>
      </c>
    </row>
    <row r="23" spans="1:21" s="73" customFormat="1" ht="14.5" customHeight="1">
      <c r="A23" s="75" t="s">
        <v>458</v>
      </c>
      <c r="B23" s="76" t="s">
        <v>332</v>
      </c>
      <c r="C23" s="76" t="s">
        <v>332</v>
      </c>
      <c r="D23" s="76" t="s">
        <v>332</v>
      </c>
      <c r="E23" s="76" t="s">
        <v>332</v>
      </c>
      <c r="F23" s="76" t="s">
        <v>332</v>
      </c>
      <c r="G23" s="76" t="s">
        <v>332</v>
      </c>
      <c r="H23" s="76" t="s">
        <v>332</v>
      </c>
      <c r="I23" s="76" t="s">
        <v>332</v>
      </c>
      <c r="J23" s="76" t="s">
        <v>332</v>
      </c>
      <c r="K23" s="76" t="s">
        <v>332</v>
      </c>
      <c r="L23" s="76" t="s">
        <v>332</v>
      </c>
      <c r="M23" s="76"/>
      <c r="N23" s="76" t="s">
        <v>332</v>
      </c>
      <c r="O23" s="76"/>
      <c r="P23" s="77"/>
      <c r="Q23" s="78"/>
      <c r="R23" s="78"/>
      <c r="S23" s="78"/>
      <c r="T23" s="78"/>
      <c r="U23" s="78"/>
    </row>
    <row r="24" spans="1:21" ht="14.5" customHeight="1">
      <c r="A24" s="57" t="s">
        <v>459</v>
      </c>
      <c r="B24" s="59" t="s">
        <v>27</v>
      </c>
      <c r="C24" s="59" t="s">
        <v>27</v>
      </c>
      <c r="D24" s="59" t="s">
        <v>27</v>
      </c>
      <c r="E24" s="59" t="s">
        <v>27</v>
      </c>
      <c r="F24" s="59" t="s">
        <v>27</v>
      </c>
      <c r="G24" s="59" t="s">
        <v>27</v>
      </c>
      <c r="H24" s="59" t="s">
        <v>27</v>
      </c>
      <c r="I24" s="59" t="s">
        <v>27</v>
      </c>
      <c r="J24" s="59" t="s">
        <v>27</v>
      </c>
      <c r="K24" s="59" t="s">
        <v>27</v>
      </c>
      <c r="L24" s="59" t="s">
        <v>27</v>
      </c>
      <c r="M24" s="59" t="s">
        <v>27</v>
      </c>
      <c r="N24" s="60" t="s">
        <v>33</v>
      </c>
      <c r="O24" s="59">
        <f t="shared" si="0"/>
        <v>12</v>
      </c>
      <c r="P24" s="53">
        <f>O24/13</f>
        <v>0.92307692307692313</v>
      </c>
      <c r="Q24" s="62" t="s">
        <v>34</v>
      </c>
      <c r="R24" s="62" t="s">
        <v>265</v>
      </c>
      <c r="S24" s="62" t="s">
        <v>266</v>
      </c>
      <c r="T24" s="62" t="s">
        <v>686</v>
      </c>
      <c r="U24" s="62" t="s">
        <v>687</v>
      </c>
    </row>
    <row r="25" spans="1:21" ht="14.5" customHeight="1">
      <c r="A25" s="57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60"/>
      <c r="O25" s="59"/>
      <c r="P25" s="53"/>
      <c r="Q25" s="62" t="s">
        <v>34</v>
      </c>
      <c r="R25" s="62" t="s">
        <v>265</v>
      </c>
      <c r="S25" s="62" t="s">
        <v>266</v>
      </c>
      <c r="T25" s="62" t="s">
        <v>193</v>
      </c>
      <c r="U25" s="62" t="s">
        <v>269</v>
      </c>
    </row>
    <row r="26" spans="1:21" ht="14.5" customHeight="1">
      <c r="A26" s="57" t="s">
        <v>460</v>
      </c>
      <c r="B26" s="59" t="s">
        <v>27</v>
      </c>
      <c r="C26" s="59" t="s">
        <v>27</v>
      </c>
      <c r="D26" s="60" t="s">
        <v>33</v>
      </c>
      <c r="E26" s="60" t="s">
        <v>33</v>
      </c>
      <c r="F26" s="60" t="s">
        <v>33</v>
      </c>
      <c r="G26" s="60" t="s">
        <v>33</v>
      </c>
      <c r="H26" s="60" t="s">
        <v>33</v>
      </c>
      <c r="I26" s="60" t="s">
        <v>33</v>
      </c>
      <c r="J26" s="59" t="s">
        <v>27</v>
      </c>
      <c r="K26" s="60" t="s">
        <v>33</v>
      </c>
      <c r="L26" s="60" t="s">
        <v>33</v>
      </c>
      <c r="M26" s="60" t="s">
        <v>33</v>
      </c>
      <c r="N26" s="60" t="s">
        <v>33</v>
      </c>
      <c r="O26" s="59">
        <f t="shared" si="0"/>
        <v>3</v>
      </c>
      <c r="P26" s="53">
        <f t="shared" ref="P26:P27" si="3">O26/13</f>
        <v>0.23076923076923078</v>
      </c>
      <c r="Q26" s="58" t="s">
        <v>34</v>
      </c>
      <c r="R26" s="58" t="s">
        <v>29</v>
      </c>
      <c r="S26" s="58" t="s">
        <v>694</v>
      </c>
      <c r="T26" s="58" t="s">
        <v>300</v>
      </c>
      <c r="U26" s="58" t="s">
        <v>301</v>
      </c>
    </row>
    <row r="27" spans="1:21" ht="14.5" customHeight="1">
      <c r="A27" s="57" t="s">
        <v>461</v>
      </c>
      <c r="B27" s="59" t="s">
        <v>27</v>
      </c>
      <c r="C27" s="60" t="s">
        <v>33</v>
      </c>
      <c r="D27" s="60" t="s">
        <v>33</v>
      </c>
      <c r="E27" s="60" t="s">
        <v>33</v>
      </c>
      <c r="F27" s="59" t="s">
        <v>27</v>
      </c>
      <c r="G27" s="60" t="s">
        <v>33</v>
      </c>
      <c r="H27" s="60" t="s">
        <v>33</v>
      </c>
      <c r="I27" s="60" t="s">
        <v>33</v>
      </c>
      <c r="J27" s="59" t="s">
        <v>27</v>
      </c>
      <c r="K27" s="59" t="s">
        <v>27</v>
      </c>
      <c r="L27" s="60" t="s">
        <v>33</v>
      </c>
      <c r="M27" s="60" t="s">
        <v>33</v>
      </c>
      <c r="N27" s="59" t="s">
        <v>27</v>
      </c>
      <c r="O27" s="59">
        <f t="shared" si="0"/>
        <v>5</v>
      </c>
      <c r="P27" s="53">
        <f t="shared" si="3"/>
        <v>0.38461538461538464</v>
      </c>
      <c r="Q27" s="58" t="s">
        <v>34</v>
      </c>
      <c r="R27" s="58" t="s">
        <v>29</v>
      </c>
      <c r="S27" s="58" t="s">
        <v>694</v>
      </c>
      <c r="T27" s="58" t="s">
        <v>300</v>
      </c>
      <c r="U27" s="58" t="s">
        <v>301</v>
      </c>
    </row>
    <row r="28" spans="1:21" s="73" customFormat="1" ht="14.5" customHeight="1">
      <c r="A28" s="75" t="s">
        <v>462</v>
      </c>
      <c r="B28" s="76" t="s">
        <v>332</v>
      </c>
      <c r="C28" s="76" t="s">
        <v>332</v>
      </c>
      <c r="D28" s="76" t="s">
        <v>332</v>
      </c>
      <c r="E28" s="76" t="s">
        <v>332</v>
      </c>
      <c r="F28" s="76" t="s">
        <v>332</v>
      </c>
      <c r="G28" s="76" t="s">
        <v>332</v>
      </c>
      <c r="H28" s="76" t="s">
        <v>332</v>
      </c>
      <c r="I28" s="76" t="s">
        <v>332</v>
      </c>
      <c r="J28" s="76" t="s">
        <v>332</v>
      </c>
      <c r="K28" s="76" t="s">
        <v>332</v>
      </c>
      <c r="L28" s="76" t="s">
        <v>332</v>
      </c>
      <c r="M28" s="76"/>
      <c r="N28" s="76" t="s">
        <v>332</v>
      </c>
      <c r="O28" s="76"/>
      <c r="P28" s="77"/>
      <c r="Q28" s="78"/>
      <c r="R28" s="78"/>
      <c r="S28" s="78"/>
      <c r="T28" s="78"/>
      <c r="U28" s="78"/>
    </row>
    <row r="29" spans="1:21" ht="14.5" customHeight="1">
      <c r="A29" s="57" t="s">
        <v>463</v>
      </c>
      <c r="B29" s="60" t="s">
        <v>33</v>
      </c>
      <c r="C29" s="60" t="s">
        <v>33</v>
      </c>
      <c r="D29" s="60" t="s">
        <v>33</v>
      </c>
      <c r="E29" s="60" t="s">
        <v>33</v>
      </c>
      <c r="F29" s="60" t="s">
        <v>33</v>
      </c>
      <c r="G29" s="60" t="s">
        <v>33</v>
      </c>
      <c r="H29" s="60" t="s">
        <v>33</v>
      </c>
      <c r="I29" s="60" t="s">
        <v>33</v>
      </c>
      <c r="J29" s="60" t="s">
        <v>33</v>
      </c>
      <c r="K29" s="59" t="s">
        <v>27</v>
      </c>
      <c r="L29" s="60" t="s">
        <v>33</v>
      </c>
      <c r="M29" s="60" t="s">
        <v>33</v>
      </c>
      <c r="N29" s="60" t="s">
        <v>33</v>
      </c>
      <c r="O29" s="59">
        <f t="shared" ref="O29:O31" si="4">COUNTIF(B29:N29,"✔")</f>
        <v>1</v>
      </c>
      <c r="P29" s="53">
        <f>O29/13</f>
        <v>7.6923076923076927E-2</v>
      </c>
      <c r="Q29" s="58" t="s">
        <v>34</v>
      </c>
      <c r="R29" s="57" t="s">
        <v>29</v>
      </c>
      <c r="S29" s="57" t="s">
        <v>688</v>
      </c>
      <c r="T29" s="57" t="s">
        <v>650</v>
      </c>
      <c r="U29" s="57" t="s">
        <v>335</v>
      </c>
    </row>
    <row r="30" spans="1:21" ht="14.5" customHeight="1">
      <c r="A30" s="57"/>
      <c r="B30" s="60"/>
      <c r="C30" s="60"/>
      <c r="D30" s="60"/>
      <c r="E30" s="60"/>
      <c r="F30" s="60"/>
      <c r="G30" s="60"/>
      <c r="H30" s="60"/>
      <c r="I30" s="60"/>
      <c r="J30" s="60"/>
      <c r="K30" s="59"/>
      <c r="L30" s="60"/>
      <c r="M30" s="60"/>
      <c r="N30" s="60"/>
      <c r="O30" s="59"/>
      <c r="P30" s="53"/>
      <c r="Q30" s="58" t="s">
        <v>34</v>
      </c>
      <c r="R30" s="57" t="s">
        <v>29</v>
      </c>
      <c r="S30" s="57" t="s">
        <v>688</v>
      </c>
      <c r="T30" s="57" t="s">
        <v>689</v>
      </c>
      <c r="U30" s="57" t="s">
        <v>360</v>
      </c>
    </row>
    <row r="31" spans="1:21" ht="14.5" customHeight="1">
      <c r="A31" s="57" t="s">
        <v>464</v>
      </c>
      <c r="B31" s="60" t="s">
        <v>33</v>
      </c>
      <c r="C31" s="60" t="s">
        <v>33</v>
      </c>
      <c r="D31" s="60" t="s">
        <v>33</v>
      </c>
      <c r="E31" s="60" t="s">
        <v>33</v>
      </c>
      <c r="F31" s="60" t="s">
        <v>33</v>
      </c>
      <c r="G31" s="60" t="s">
        <v>33</v>
      </c>
      <c r="H31" s="60" t="s">
        <v>33</v>
      </c>
      <c r="I31" s="60" t="s">
        <v>33</v>
      </c>
      <c r="J31" s="60" t="s">
        <v>33</v>
      </c>
      <c r="K31" s="59" t="s">
        <v>27</v>
      </c>
      <c r="L31" s="60" t="s">
        <v>33</v>
      </c>
      <c r="M31" s="60" t="s">
        <v>33</v>
      </c>
      <c r="N31" s="60" t="s">
        <v>33</v>
      </c>
      <c r="O31" s="59">
        <f t="shared" si="4"/>
        <v>1</v>
      </c>
      <c r="P31" s="53">
        <f>O31/13</f>
        <v>7.6923076923076927E-2</v>
      </c>
      <c r="Q31" s="58" t="s">
        <v>34</v>
      </c>
      <c r="R31" s="57" t="s">
        <v>37</v>
      </c>
      <c r="S31" s="57" t="s">
        <v>690</v>
      </c>
      <c r="T31" s="57" t="s">
        <v>204</v>
      </c>
      <c r="U31" s="57" t="s">
        <v>158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BF3C6-7726-4C0F-89FA-B72458E51DAC}">
  <dimension ref="A1:U21"/>
  <sheetViews>
    <sheetView topLeftCell="A8" zoomScale="58" zoomScaleNormal="100" workbookViewId="0">
      <pane xSplit="1" topLeftCell="N1" activePane="topRight" state="frozen"/>
      <selection pane="topRight" activeCell="U30" sqref="N30:U56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63" t="s">
        <v>465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466</v>
      </c>
      <c r="B2" s="78" t="s">
        <v>332</v>
      </c>
      <c r="C2" s="78" t="s">
        <v>332</v>
      </c>
      <c r="D2" s="78" t="s">
        <v>332</v>
      </c>
      <c r="E2" s="78" t="s">
        <v>332</v>
      </c>
      <c r="F2" s="78" t="s">
        <v>332</v>
      </c>
      <c r="G2" s="78" t="s">
        <v>332</v>
      </c>
      <c r="H2" s="78" t="s">
        <v>332</v>
      </c>
      <c r="I2" s="78" t="s">
        <v>332</v>
      </c>
      <c r="J2" s="78" t="s">
        <v>332</v>
      </c>
      <c r="K2" s="78" t="s">
        <v>332</v>
      </c>
      <c r="L2" s="78" t="s">
        <v>332</v>
      </c>
      <c r="M2" s="78"/>
      <c r="N2" s="78" t="s">
        <v>332</v>
      </c>
      <c r="O2" s="78"/>
      <c r="P2" s="78"/>
      <c r="Q2" s="79"/>
      <c r="R2" s="79"/>
      <c r="S2" s="79"/>
      <c r="T2" s="79"/>
      <c r="U2" s="79"/>
    </row>
    <row r="3" spans="1:21" ht="14.5" customHeight="1">
      <c r="A3" s="57" t="s">
        <v>467</v>
      </c>
      <c r="B3" s="59" t="s">
        <v>27</v>
      </c>
      <c r="C3" s="59" t="s">
        <v>27</v>
      </c>
      <c r="D3" s="59" t="s">
        <v>27</v>
      </c>
      <c r="E3" s="59" t="s">
        <v>27</v>
      </c>
      <c r="F3" s="60" t="s">
        <v>33</v>
      </c>
      <c r="G3" s="60" t="s">
        <v>33</v>
      </c>
      <c r="H3" s="60" t="s">
        <v>33</v>
      </c>
      <c r="I3" s="59" t="s">
        <v>27</v>
      </c>
      <c r="J3" s="60" t="s">
        <v>33</v>
      </c>
      <c r="K3" s="60" t="s">
        <v>33</v>
      </c>
      <c r="L3" s="60" t="s">
        <v>33</v>
      </c>
      <c r="M3" s="60" t="s">
        <v>33</v>
      </c>
      <c r="N3" s="60" t="s">
        <v>33</v>
      </c>
      <c r="O3" s="59">
        <f>COUNTIF(B3:N3,"✔")</f>
        <v>5</v>
      </c>
      <c r="P3" s="53">
        <f>O3/13</f>
        <v>0.38461538461538464</v>
      </c>
      <c r="Q3" s="64" t="s">
        <v>34</v>
      </c>
      <c r="R3" s="64" t="s">
        <v>29</v>
      </c>
      <c r="S3" s="64" t="s">
        <v>307</v>
      </c>
      <c r="T3" s="64" t="s">
        <v>124</v>
      </c>
      <c r="U3" s="64" t="s">
        <v>308</v>
      </c>
    </row>
    <row r="4" spans="1:21" ht="14.5" customHeight="1">
      <c r="A4" s="57"/>
      <c r="B4" s="59"/>
      <c r="C4" s="59"/>
      <c r="D4" s="59"/>
      <c r="E4" s="59"/>
      <c r="F4" s="60"/>
      <c r="G4" s="60"/>
      <c r="H4" s="60"/>
      <c r="I4" s="59"/>
      <c r="J4" s="60"/>
      <c r="K4" s="60"/>
      <c r="L4" s="60"/>
      <c r="M4" s="60"/>
      <c r="N4" s="60"/>
      <c r="O4" s="59"/>
      <c r="P4" s="53"/>
      <c r="Q4" s="64" t="s">
        <v>34</v>
      </c>
      <c r="R4" s="64" t="s">
        <v>29</v>
      </c>
      <c r="S4" s="64" t="s">
        <v>307</v>
      </c>
      <c r="T4" s="64" t="s">
        <v>693</v>
      </c>
      <c r="U4" s="64" t="s">
        <v>145</v>
      </c>
    </row>
    <row r="5" spans="1:21" ht="14.5" customHeight="1">
      <c r="A5" s="57" t="s">
        <v>468</v>
      </c>
      <c r="B5" s="59" t="s">
        <v>27</v>
      </c>
      <c r="C5" s="59" t="s">
        <v>27</v>
      </c>
      <c r="D5" s="60" t="s">
        <v>33</v>
      </c>
      <c r="E5" s="60" t="s">
        <v>33</v>
      </c>
      <c r="F5" s="60" t="s">
        <v>33</v>
      </c>
      <c r="G5" s="60" t="s">
        <v>33</v>
      </c>
      <c r="H5" s="60" t="s">
        <v>33</v>
      </c>
      <c r="I5" s="60" t="s">
        <v>33</v>
      </c>
      <c r="J5" s="60" t="s">
        <v>33</v>
      </c>
      <c r="K5" s="60" t="s">
        <v>33</v>
      </c>
      <c r="L5" s="60" t="s">
        <v>33</v>
      </c>
      <c r="M5" s="60" t="s">
        <v>33</v>
      </c>
      <c r="N5" s="60" t="s">
        <v>33</v>
      </c>
      <c r="O5" s="59">
        <f t="shared" ref="O5:O21" si="0">COUNTIF(B5:N5,"✔")</f>
        <v>2</v>
      </c>
      <c r="P5" s="53">
        <f t="shared" ref="P5:P8" si="1">O5/13</f>
        <v>0.15384615384615385</v>
      </c>
      <c r="Q5" s="64" t="s">
        <v>34</v>
      </c>
      <c r="R5" s="64" t="s">
        <v>29</v>
      </c>
      <c r="S5" s="64" t="s">
        <v>694</v>
      </c>
      <c r="T5" s="64" t="s">
        <v>300</v>
      </c>
      <c r="U5" s="64" t="s">
        <v>301</v>
      </c>
    </row>
    <row r="6" spans="1:21" ht="14.5" customHeight="1">
      <c r="A6" s="57" t="s">
        <v>469</v>
      </c>
      <c r="B6" s="60" t="s">
        <v>33</v>
      </c>
      <c r="C6" s="60" t="s">
        <v>33</v>
      </c>
      <c r="D6" s="60" t="s">
        <v>33</v>
      </c>
      <c r="E6" s="60" t="s">
        <v>33</v>
      </c>
      <c r="F6" s="60" t="s">
        <v>33</v>
      </c>
      <c r="G6" s="60" t="s">
        <v>33</v>
      </c>
      <c r="H6" s="60" t="s">
        <v>33</v>
      </c>
      <c r="I6" s="60" t="s">
        <v>33</v>
      </c>
      <c r="J6" s="60" t="s">
        <v>33</v>
      </c>
      <c r="K6" s="59" t="s">
        <v>27</v>
      </c>
      <c r="L6" s="60" t="s">
        <v>33</v>
      </c>
      <c r="M6" s="60" t="s">
        <v>33</v>
      </c>
      <c r="N6" s="59" t="s">
        <v>27</v>
      </c>
      <c r="O6" s="59">
        <f t="shared" si="0"/>
        <v>2</v>
      </c>
      <c r="P6" s="53">
        <f t="shared" si="1"/>
        <v>0.15384615384615385</v>
      </c>
      <c r="Q6" s="64" t="s">
        <v>34</v>
      </c>
      <c r="R6" s="64" t="s">
        <v>37</v>
      </c>
      <c r="S6" s="64" t="s">
        <v>123</v>
      </c>
      <c r="T6" s="64" t="s">
        <v>675</v>
      </c>
      <c r="U6" s="64" t="s">
        <v>374</v>
      </c>
    </row>
    <row r="7" spans="1:21" ht="14.5" customHeight="1">
      <c r="A7" s="57"/>
      <c r="B7" s="60"/>
      <c r="C7" s="60"/>
      <c r="D7" s="60"/>
      <c r="E7" s="60"/>
      <c r="F7" s="60"/>
      <c r="G7" s="60"/>
      <c r="H7" s="60"/>
      <c r="I7" s="60"/>
      <c r="J7" s="60"/>
      <c r="K7" s="59"/>
      <c r="L7" s="60"/>
      <c r="M7" s="60"/>
      <c r="N7" s="59"/>
      <c r="O7" s="59"/>
      <c r="P7" s="53"/>
      <c r="Q7" s="64" t="s">
        <v>34</v>
      </c>
      <c r="R7" s="64" t="s">
        <v>37</v>
      </c>
      <c r="S7" s="64" t="s">
        <v>123</v>
      </c>
      <c r="T7" s="64" t="s">
        <v>676</v>
      </c>
      <c r="U7" s="64" t="s">
        <v>374</v>
      </c>
    </row>
    <row r="8" spans="1:21" ht="14.5" customHeight="1">
      <c r="A8" s="57" t="s">
        <v>470</v>
      </c>
      <c r="B8" s="60" t="s">
        <v>33</v>
      </c>
      <c r="C8" s="59" t="s">
        <v>27</v>
      </c>
      <c r="D8" s="60" t="s">
        <v>33</v>
      </c>
      <c r="E8" s="60" t="s">
        <v>33</v>
      </c>
      <c r="F8" s="60" t="s">
        <v>33</v>
      </c>
      <c r="G8" s="60" t="s">
        <v>33</v>
      </c>
      <c r="H8" s="60" t="s">
        <v>33</v>
      </c>
      <c r="I8" s="60" t="s">
        <v>33</v>
      </c>
      <c r="J8" s="60" t="s">
        <v>33</v>
      </c>
      <c r="K8" s="60" t="s">
        <v>33</v>
      </c>
      <c r="L8" s="60" t="s">
        <v>33</v>
      </c>
      <c r="M8" s="60" t="s">
        <v>33</v>
      </c>
      <c r="N8" s="60" t="s">
        <v>33</v>
      </c>
      <c r="O8" s="59">
        <f t="shared" si="0"/>
        <v>1</v>
      </c>
      <c r="P8" s="53">
        <f t="shared" si="1"/>
        <v>7.6923076923076927E-2</v>
      </c>
      <c r="Q8" s="64" t="s">
        <v>34</v>
      </c>
      <c r="R8" s="64" t="s">
        <v>29</v>
      </c>
      <c r="S8" s="64" t="s">
        <v>307</v>
      </c>
      <c r="T8" s="64" t="s">
        <v>124</v>
      </c>
      <c r="U8" s="64" t="s">
        <v>308</v>
      </c>
    </row>
    <row r="9" spans="1:21" ht="14.5" customHeight="1">
      <c r="A9" s="57"/>
      <c r="B9" s="60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59"/>
      <c r="P9" s="53"/>
      <c r="Q9" s="64" t="s">
        <v>34</v>
      </c>
      <c r="R9" s="64" t="s">
        <v>29</v>
      </c>
      <c r="S9" s="64" t="s">
        <v>307</v>
      </c>
      <c r="T9" s="64" t="s">
        <v>693</v>
      </c>
      <c r="U9" s="64" t="s">
        <v>145</v>
      </c>
    </row>
    <row r="10" spans="1:21" s="73" customFormat="1" ht="14.5" customHeight="1">
      <c r="A10" s="75" t="s">
        <v>471</v>
      </c>
      <c r="B10" s="76" t="s">
        <v>332</v>
      </c>
      <c r="C10" s="76" t="s">
        <v>332</v>
      </c>
      <c r="D10" s="76" t="s">
        <v>332</v>
      </c>
      <c r="E10" s="76" t="s">
        <v>332</v>
      </c>
      <c r="F10" s="76" t="s">
        <v>332</v>
      </c>
      <c r="G10" s="76" t="s">
        <v>332</v>
      </c>
      <c r="H10" s="76" t="s">
        <v>332</v>
      </c>
      <c r="I10" s="76" t="s">
        <v>332</v>
      </c>
      <c r="J10" s="76" t="s">
        <v>332</v>
      </c>
      <c r="K10" s="76" t="s">
        <v>332</v>
      </c>
      <c r="L10" s="76" t="s">
        <v>332</v>
      </c>
      <c r="M10" s="76" t="s">
        <v>332</v>
      </c>
      <c r="N10" s="76" t="s">
        <v>332</v>
      </c>
      <c r="O10" s="76"/>
      <c r="P10" s="77"/>
      <c r="Q10" s="79"/>
      <c r="R10" s="79"/>
      <c r="S10" s="79"/>
      <c r="T10" s="79"/>
      <c r="U10" s="79"/>
    </row>
    <row r="11" spans="1:21" ht="14.5" customHeight="1">
      <c r="A11" s="57" t="s">
        <v>472</v>
      </c>
      <c r="B11" s="59" t="s">
        <v>27</v>
      </c>
      <c r="C11" s="59" t="s">
        <v>27</v>
      </c>
      <c r="D11" s="59" t="s">
        <v>27</v>
      </c>
      <c r="E11" s="60" t="s">
        <v>33</v>
      </c>
      <c r="F11" s="60" t="s">
        <v>33</v>
      </c>
      <c r="G11" s="60" t="s">
        <v>33</v>
      </c>
      <c r="H11" s="60" t="s">
        <v>33</v>
      </c>
      <c r="I11" s="59" t="s">
        <v>27</v>
      </c>
      <c r="J11" s="60" t="s">
        <v>33</v>
      </c>
      <c r="K11" s="60" t="s">
        <v>33</v>
      </c>
      <c r="L11" s="60" t="s">
        <v>33</v>
      </c>
      <c r="M11" s="59" t="s">
        <v>27</v>
      </c>
      <c r="N11" s="60" t="s">
        <v>33</v>
      </c>
      <c r="O11" s="59">
        <f t="shared" si="0"/>
        <v>5</v>
      </c>
      <c r="P11" s="53">
        <f>O11/13</f>
        <v>0.38461538461538464</v>
      </c>
      <c r="Q11" s="64" t="s">
        <v>34</v>
      </c>
      <c r="R11" s="64" t="s">
        <v>29</v>
      </c>
      <c r="S11" s="64" t="s">
        <v>307</v>
      </c>
      <c r="T11" s="64" t="s">
        <v>124</v>
      </c>
      <c r="U11" s="64" t="s">
        <v>308</v>
      </c>
    </row>
    <row r="12" spans="1:21" ht="14.5" customHeight="1">
      <c r="A12" s="57"/>
      <c r="B12" s="59"/>
      <c r="C12" s="59"/>
      <c r="D12" s="59"/>
      <c r="E12" s="60"/>
      <c r="F12" s="60"/>
      <c r="G12" s="60"/>
      <c r="H12" s="60"/>
      <c r="I12" s="59"/>
      <c r="J12" s="60"/>
      <c r="K12" s="60"/>
      <c r="L12" s="60"/>
      <c r="M12" s="59"/>
      <c r="N12" s="60"/>
      <c r="O12" s="59"/>
      <c r="P12" s="53"/>
      <c r="Q12" s="64" t="s">
        <v>34</v>
      </c>
      <c r="R12" s="64" t="s">
        <v>29</v>
      </c>
      <c r="S12" s="64" t="s">
        <v>307</v>
      </c>
      <c r="T12" s="64" t="s">
        <v>693</v>
      </c>
      <c r="U12" s="64" t="s">
        <v>145</v>
      </c>
    </row>
    <row r="13" spans="1:21" ht="14.5" customHeight="1">
      <c r="A13" s="57" t="s">
        <v>473</v>
      </c>
      <c r="B13" s="60" t="s">
        <v>33</v>
      </c>
      <c r="C13" s="59" t="s">
        <v>27</v>
      </c>
      <c r="D13" s="60" t="s">
        <v>33</v>
      </c>
      <c r="E13" s="60" t="s">
        <v>33</v>
      </c>
      <c r="F13" s="60" t="s">
        <v>33</v>
      </c>
      <c r="G13" s="60" t="s">
        <v>33</v>
      </c>
      <c r="H13" s="60" t="s">
        <v>33</v>
      </c>
      <c r="I13" s="60" t="s">
        <v>33</v>
      </c>
      <c r="J13" s="60" t="s">
        <v>33</v>
      </c>
      <c r="K13" s="60" t="s">
        <v>33</v>
      </c>
      <c r="L13" s="60" t="s">
        <v>33</v>
      </c>
      <c r="M13" s="60" t="s">
        <v>33</v>
      </c>
      <c r="N13" s="60" t="s">
        <v>33</v>
      </c>
      <c r="O13" s="59">
        <f t="shared" si="0"/>
        <v>1</v>
      </c>
      <c r="P13" s="53">
        <f>O13/13</f>
        <v>7.6923076923076927E-2</v>
      </c>
      <c r="Q13" s="64" t="s">
        <v>34</v>
      </c>
      <c r="R13" s="64" t="s">
        <v>29</v>
      </c>
      <c r="S13" s="64" t="s">
        <v>694</v>
      </c>
      <c r="T13" s="64" t="s">
        <v>300</v>
      </c>
      <c r="U13" s="64" t="s">
        <v>301</v>
      </c>
    </row>
    <row r="14" spans="1:21" s="73" customFormat="1" ht="14.5" customHeight="1">
      <c r="A14" s="75" t="s">
        <v>474</v>
      </c>
      <c r="B14" s="76" t="s">
        <v>332</v>
      </c>
      <c r="C14" s="76" t="s">
        <v>332</v>
      </c>
      <c r="D14" s="76" t="s">
        <v>332</v>
      </c>
      <c r="E14" s="76" t="s">
        <v>332</v>
      </c>
      <c r="F14" s="76" t="s">
        <v>332</v>
      </c>
      <c r="G14" s="76" t="s">
        <v>332</v>
      </c>
      <c r="H14" s="76" t="s">
        <v>332</v>
      </c>
      <c r="I14" s="76" t="s">
        <v>332</v>
      </c>
      <c r="J14" s="76" t="s">
        <v>332</v>
      </c>
      <c r="K14" s="76" t="s">
        <v>332</v>
      </c>
      <c r="L14" s="76" t="s">
        <v>332</v>
      </c>
      <c r="M14" s="76" t="s">
        <v>332</v>
      </c>
      <c r="N14" s="76" t="s">
        <v>332</v>
      </c>
      <c r="O14" s="76"/>
      <c r="P14" s="77"/>
      <c r="Q14" s="79"/>
      <c r="R14" s="79"/>
      <c r="S14" s="79"/>
      <c r="T14" s="79"/>
      <c r="U14" s="79"/>
    </row>
    <row r="15" spans="1:21" ht="14.5" customHeight="1">
      <c r="A15" s="57" t="s">
        <v>475</v>
      </c>
      <c r="B15" s="60" t="s">
        <v>33</v>
      </c>
      <c r="C15" s="59" t="s">
        <v>27</v>
      </c>
      <c r="D15" s="60" t="s">
        <v>33</v>
      </c>
      <c r="E15" s="60" t="s">
        <v>33</v>
      </c>
      <c r="F15" s="60" t="s">
        <v>33</v>
      </c>
      <c r="G15" s="60" t="s">
        <v>33</v>
      </c>
      <c r="H15" s="60" t="s">
        <v>33</v>
      </c>
      <c r="I15" s="60" t="s">
        <v>33</v>
      </c>
      <c r="J15" s="60" t="s">
        <v>33</v>
      </c>
      <c r="K15" s="60" t="s">
        <v>33</v>
      </c>
      <c r="L15" s="60" t="s">
        <v>33</v>
      </c>
      <c r="M15" s="60" t="s">
        <v>33</v>
      </c>
      <c r="N15" s="60" t="s">
        <v>33</v>
      </c>
      <c r="O15" s="59">
        <f t="shared" si="0"/>
        <v>1</v>
      </c>
      <c r="P15" s="53">
        <f>O15/13</f>
        <v>7.6923076923076927E-2</v>
      </c>
      <c r="Q15" s="64" t="s">
        <v>34</v>
      </c>
      <c r="R15" s="64" t="s">
        <v>29</v>
      </c>
      <c r="S15" s="64" t="s">
        <v>694</v>
      </c>
      <c r="T15" s="64" t="s">
        <v>300</v>
      </c>
      <c r="U15" s="64" t="s">
        <v>301</v>
      </c>
    </row>
    <row r="16" spans="1:21" ht="14.5" customHeight="1">
      <c r="A16" s="57" t="s">
        <v>476</v>
      </c>
      <c r="B16" s="60" t="s">
        <v>33</v>
      </c>
      <c r="C16" s="59" t="s">
        <v>27</v>
      </c>
      <c r="D16" s="60" t="s">
        <v>33</v>
      </c>
      <c r="E16" s="60" t="s">
        <v>33</v>
      </c>
      <c r="F16" s="60" t="s">
        <v>33</v>
      </c>
      <c r="G16" s="60" t="s">
        <v>33</v>
      </c>
      <c r="H16" s="60" t="s">
        <v>33</v>
      </c>
      <c r="I16" s="60" t="s">
        <v>33</v>
      </c>
      <c r="J16" s="60" t="s">
        <v>33</v>
      </c>
      <c r="K16" s="60" t="s">
        <v>33</v>
      </c>
      <c r="L16" s="60" t="s">
        <v>33</v>
      </c>
      <c r="M16" s="60" t="s">
        <v>33</v>
      </c>
      <c r="N16" s="60" t="s">
        <v>33</v>
      </c>
      <c r="O16" s="59">
        <f t="shared" si="0"/>
        <v>1</v>
      </c>
      <c r="P16" s="53">
        <f t="shared" ref="P16:P17" si="2">O16/13</f>
        <v>7.6923076923076927E-2</v>
      </c>
      <c r="Q16" s="64" t="s">
        <v>34</v>
      </c>
      <c r="R16" s="64" t="s">
        <v>29</v>
      </c>
      <c r="S16" s="64" t="s">
        <v>694</v>
      </c>
      <c r="T16" s="64" t="s">
        <v>300</v>
      </c>
      <c r="U16" s="64" t="s">
        <v>301</v>
      </c>
    </row>
    <row r="17" spans="1:21" ht="14.5" customHeight="1">
      <c r="A17" s="57" t="s">
        <v>477</v>
      </c>
      <c r="B17" s="60" t="s">
        <v>33</v>
      </c>
      <c r="C17" s="59" t="s">
        <v>27</v>
      </c>
      <c r="D17" s="60" t="s">
        <v>33</v>
      </c>
      <c r="E17" s="60" t="s">
        <v>33</v>
      </c>
      <c r="F17" s="60" t="s">
        <v>33</v>
      </c>
      <c r="G17" s="60" t="s">
        <v>33</v>
      </c>
      <c r="H17" s="60" t="s">
        <v>33</v>
      </c>
      <c r="I17" s="60" t="s">
        <v>33</v>
      </c>
      <c r="J17" s="60" t="s">
        <v>33</v>
      </c>
      <c r="K17" s="60" t="s">
        <v>33</v>
      </c>
      <c r="L17" s="60" t="s">
        <v>33</v>
      </c>
      <c r="M17" s="60" t="s">
        <v>33</v>
      </c>
      <c r="N17" s="60" t="s">
        <v>33</v>
      </c>
      <c r="O17" s="59">
        <f t="shared" si="0"/>
        <v>1</v>
      </c>
      <c r="P17" s="53">
        <f t="shared" si="2"/>
        <v>7.6923076923076927E-2</v>
      </c>
      <c r="Q17" s="64" t="s">
        <v>34</v>
      </c>
      <c r="R17" s="64" t="s">
        <v>29</v>
      </c>
      <c r="S17" s="64" t="s">
        <v>694</v>
      </c>
      <c r="T17" s="64" t="s">
        <v>300</v>
      </c>
      <c r="U17" s="64" t="s">
        <v>301</v>
      </c>
    </row>
    <row r="18" spans="1:21" s="73" customFormat="1" ht="14.5" customHeight="1">
      <c r="A18" s="75" t="s">
        <v>478</v>
      </c>
      <c r="B18" s="76" t="s">
        <v>332</v>
      </c>
      <c r="C18" s="76" t="s">
        <v>332</v>
      </c>
      <c r="D18" s="76" t="s">
        <v>332</v>
      </c>
      <c r="E18" s="76" t="s">
        <v>332</v>
      </c>
      <c r="F18" s="76" t="s">
        <v>332</v>
      </c>
      <c r="G18" s="76" t="s">
        <v>332</v>
      </c>
      <c r="H18" s="76" t="s">
        <v>332</v>
      </c>
      <c r="I18" s="76" t="s">
        <v>332</v>
      </c>
      <c r="J18" s="76" t="s">
        <v>332</v>
      </c>
      <c r="K18" s="76" t="s">
        <v>332</v>
      </c>
      <c r="L18" s="76" t="s">
        <v>332</v>
      </c>
      <c r="M18" s="76" t="s">
        <v>332</v>
      </c>
      <c r="N18" s="76" t="s">
        <v>332</v>
      </c>
      <c r="O18" s="76"/>
      <c r="P18" s="77"/>
      <c r="Q18" s="79"/>
      <c r="R18" s="79"/>
      <c r="S18" s="79"/>
      <c r="T18" s="79"/>
      <c r="U18" s="79"/>
    </row>
    <row r="19" spans="1:21" ht="14.5" customHeight="1">
      <c r="A19" s="57" t="s">
        <v>479</v>
      </c>
      <c r="B19" s="59" t="s">
        <v>27</v>
      </c>
      <c r="C19" s="59" t="s">
        <v>27</v>
      </c>
      <c r="D19" s="60" t="s">
        <v>33</v>
      </c>
      <c r="E19" s="60" t="s">
        <v>33</v>
      </c>
      <c r="F19" s="60" t="s">
        <v>33</v>
      </c>
      <c r="G19" s="60" t="s">
        <v>33</v>
      </c>
      <c r="H19" s="60" t="s">
        <v>33</v>
      </c>
      <c r="I19" s="60" t="s">
        <v>33</v>
      </c>
      <c r="J19" s="60" t="s">
        <v>33</v>
      </c>
      <c r="K19" s="60" t="s">
        <v>33</v>
      </c>
      <c r="L19" s="60" t="s">
        <v>33</v>
      </c>
      <c r="M19" s="60" t="s">
        <v>33</v>
      </c>
      <c r="N19" s="60" t="s">
        <v>33</v>
      </c>
      <c r="O19" s="59">
        <f t="shared" si="0"/>
        <v>2</v>
      </c>
      <c r="P19" s="53">
        <f>O19/13</f>
        <v>0.15384615384615385</v>
      </c>
      <c r="Q19" s="64" t="s">
        <v>34</v>
      </c>
      <c r="R19" s="64" t="s">
        <v>29</v>
      </c>
      <c r="S19" s="64" t="s">
        <v>694</v>
      </c>
      <c r="T19" s="64" t="s">
        <v>300</v>
      </c>
      <c r="U19" s="64" t="s">
        <v>301</v>
      </c>
    </row>
    <row r="20" spans="1:21" ht="14.5" customHeight="1">
      <c r="A20" s="57" t="s">
        <v>480</v>
      </c>
      <c r="B20" s="59" t="s">
        <v>27</v>
      </c>
      <c r="C20" s="60" t="s">
        <v>33</v>
      </c>
      <c r="D20" s="60" t="s">
        <v>33</v>
      </c>
      <c r="E20" s="60" t="s">
        <v>33</v>
      </c>
      <c r="F20" s="60" t="s">
        <v>33</v>
      </c>
      <c r="G20" s="60" t="s">
        <v>33</v>
      </c>
      <c r="H20" s="60" t="s">
        <v>33</v>
      </c>
      <c r="I20" s="59" t="s">
        <v>27</v>
      </c>
      <c r="J20" s="60" t="s">
        <v>33</v>
      </c>
      <c r="K20" s="60" t="s">
        <v>33</v>
      </c>
      <c r="L20" s="60" t="s">
        <v>33</v>
      </c>
      <c r="M20" s="60" t="s">
        <v>33</v>
      </c>
      <c r="N20" s="60" t="s">
        <v>33</v>
      </c>
      <c r="O20" s="59">
        <f t="shared" si="0"/>
        <v>2</v>
      </c>
      <c r="P20" s="53">
        <f t="shared" ref="P20:P21" si="3">O20/13</f>
        <v>0.15384615384615385</v>
      </c>
      <c r="Q20" s="64" t="s">
        <v>34</v>
      </c>
      <c r="R20" s="64" t="s">
        <v>29</v>
      </c>
      <c r="S20" s="64" t="s">
        <v>694</v>
      </c>
      <c r="T20" s="64" t="s">
        <v>300</v>
      </c>
      <c r="U20" s="64" t="s">
        <v>301</v>
      </c>
    </row>
    <row r="21" spans="1:21" ht="14.5" customHeight="1">
      <c r="A21" s="57" t="s">
        <v>481</v>
      </c>
      <c r="B21" s="60" t="s">
        <v>33</v>
      </c>
      <c r="C21" s="59" t="s">
        <v>27</v>
      </c>
      <c r="D21" s="60" t="s">
        <v>33</v>
      </c>
      <c r="E21" s="59" t="s">
        <v>27</v>
      </c>
      <c r="F21" s="60" t="s">
        <v>33</v>
      </c>
      <c r="G21" s="60" t="s">
        <v>33</v>
      </c>
      <c r="H21" s="60" t="s">
        <v>33</v>
      </c>
      <c r="I21" s="60" t="s">
        <v>33</v>
      </c>
      <c r="J21" s="60" t="s">
        <v>33</v>
      </c>
      <c r="K21" s="60" t="s">
        <v>33</v>
      </c>
      <c r="L21" s="60" t="s">
        <v>33</v>
      </c>
      <c r="M21" s="60" t="s">
        <v>33</v>
      </c>
      <c r="N21" s="60" t="s">
        <v>33</v>
      </c>
      <c r="O21" s="59">
        <f t="shared" si="0"/>
        <v>2</v>
      </c>
      <c r="P21" s="53">
        <f t="shared" si="3"/>
        <v>0.15384615384615385</v>
      </c>
      <c r="Q21" s="64" t="s">
        <v>34</v>
      </c>
      <c r="R21" s="64" t="s">
        <v>29</v>
      </c>
      <c r="S21" s="64" t="s">
        <v>694</v>
      </c>
      <c r="T21" s="64" t="s">
        <v>300</v>
      </c>
      <c r="U21" s="64" t="s">
        <v>301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CF29-BA30-4691-916A-61D5595E6028}">
  <dimension ref="A1:U28"/>
  <sheetViews>
    <sheetView zoomScale="64" zoomScaleNormal="100" workbookViewId="0">
      <pane xSplit="1" topLeftCell="P1" activePane="topRight" state="frozen"/>
      <selection pane="topRight" activeCell="R17" sqref="A1:U28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63" t="s">
        <v>482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483</v>
      </c>
      <c r="B2" s="76" t="s">
        <v>332</v>
      </c>
      <c r="C2" s="76" t="s">
        <v>332</v>
      </c>
      <c r="D2" s="76" t="s">
        <v>332</v>
      </c>
      <c r="E2" s="76" t="s">
        <v>332</v>
      </c>
      <c r="F2" s="76" t="s">
        <v>332</v>
      </c>
      <c r="G2" s="76" t="s">
        <v>332</v>
      </c>
      <c r="H2" s="76" t="s">
        <v>332</v>
      </c>
      <c r="I2" s="76" t="s">
        <v>332</v>
      </c>
      <c r="J2" s="76" t="s">
        <v>332</v>
      </c>
      <c r="K2" s="76" t="s">
        <v>332</v>
      </c>
      <c r="L2" s="76" t="s">
        <v>332</v>
      </c>
      <c r="M2" s="76"/>
      <c r="N2" s="76" t="s">
        <v>332</v>
      </c>
      <c r="O2" s="78"/>
      <c r="P2" s="78"/>
      <c r="Q2" s="79"/>
      <c r="R2" s="79"/>
      <c r="S2" s="79"/>
      <c r="T2" s="79"/>
      <c r="U2" s="79"/>
    </row>
    <row r="3" spans="1:21" ht="14.5" customHeight="1">
      <c r="A3" s="57" t="s">
        <v>484</v>
      </c>
      <c r="B3" s="59" t="s">
        <v>27</v>
      </c>
      <c r="C3" s="59" t="s">
        <v>27</v>
      </c>
      <c r="D3" s="59" t="s">
        <v>27</v>
      </c>
      <c r="E3" s="60" t="s">
        <v>33</v>
      </c>
      <c r="F3" s="60" t="s">
        <v>33</v>
      </c>
      <c r="G3" s="60" t="s">
        <v>33</v>
      </c>
      <c r="H3" s="60" t="s">
        <v>33</v>
      </c>
      <c r="I3" s="60" t="s">
        <v>33</v>
      </c>
      <c r="J3" s="60" t="s">
        <v>33</v>
      </c>
      <c r="K3" s="60" t="s">
        <v>33</v>
      </c>
      <c r="L3" s="60" t="s">
        <v>33</v>
      </c>
      <c r="M3" s="60" t="s">
        <v>33</v>
      </c>
      <c r="N3" s="60" t="s">
        <v>33</v>
      </c>
      <c r="O3" s="59">
        <f>COUNTIF(B3:N3,"✔")</f>
        <v>3</v>
      </c>
      <c r="P3" s="53">
        <f>O3/13</f>
        <v>0.23076923076923078</v>
      </c>
      <c r="Q3" s="64" t="s">
        <v>34</v>
      </c>
      <c r="R3" s="64" t="s">
        <v>29</v>
      </c>
      <c r="S3" s="64" t="s">
        <v>307</v>
      </c>
      <c r="T3" s="64" t="s">
        <v>124</v>
      </c>
      <c r="U3" s="64" t="s">
        <v>308</v>
      </c>
    </row>
    <row r="4" spans="1:21" ht="14.5" customHeight="1">
      <c r="A4" s="57"/>
      <c r="B4" s="59"/>
      <c r="C4" s="59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59"/>
      <c r="P4" s="53"/>
      <c r="Q4" s="64" t="s">
        <v>34</v>
      </c>
      <c r="R4" s="64" t="s">
        <v>29</v>
      </c>
      <c r="S4" s="64" t="s">
        <v>307</v>
      </c>
      <c r="T4" s="64" t="s">
        <v>693</v>
      </c>
      <c r="U4" s="64" t="s">
        <v>145</v>
      </c>
    </row>
    <row r="5" spans="1:21" ht="14.5" customHeight="1">
      <c r="A5" s="57" t="s">
        <v>485</v>
      </c>
      <c r="B5" s="60" t="s">
        <v>33</v>
      </c>
      <c r="C5" s="59" t="s">
        <v>27</v>
      </c>
      <c r="D5" s="60" t="s">
        <v>33</v>
      </c>
      <c r="E5" s="60" t="s">
        <v>33</v>
      </c>
      <c r="F5" s="60" t="s">
        <v>33</v>
      </c>
      <c r="G5" s="60" t="s">
        <v>33</v>
      </c>
      <c r="H5" s="60" t="s">
        <v>33</v>
      </c>
      <c r="I5" s="60" t="s">
        <v>33</v>
      </c>
      <c r="J5" s="60" t="s">
        <v>33</v>
      </c>
      <c r="K5" s="60" t="s">
        <v>33</v>
      </c>
      <c r="L5" s="60" t="s">
        <v>33</v>
      </c>
      <c r="M5" s="60" t="s">
        <v>33</v>
      </c>
      <c r="N5" s="60" t="s">
        <v>33</v>
      </c>
      <c r="O5" s="59">
        <f t="shared" ref="O5:O27" si="0">COUNTIF(B5:N5,"✔")</f>
        <v>1</v>
      </c>
      <c r="P5" s="53">
        <f>O5/13</f>
        <v>7.6923076923076927E-2</v>
      </c>
      <c r="Q5" s="64" t="s">
        <v>34</v>
      </c>
      <c r="R5" s="64" t="s">
        <v>29</v>
      </c>
      <c r="S5" s="64" t="s">
        <v>694</v>
      </c>
      <c r="T5" s="64" t="s">
        <v>300</v>
      </c>
      <c r="U5" s="64" t="s">
        <v>301</v>
      </c>
    </row>
    <row r="6" spans="1:21" s="73" customFormat="1" ht="14.5" customHeight="1">
      <c r="A6" s="75" t="s">
        <v>486</v>
      </c>
      <c r="B6" s="76" t="s">
        <v>332</v>
      </c>
      <c r="C6" s="76" t="s">
        <v>332</v>
      </c>
      <c r="D6" s="76" t="s">
        <v>332</v>
      </c>
      <c r="E6" s="76" t="s">
        <v>332</v>
      </c>
      <c r="F6" s="76" t="s">
        <v>332</v>
      </c>
      <c r="G6" s="76" t="s">
        <v>332</v>
      </c>
      <c r="H6" s="76" t="s">
        <v>332</v>
      </c>
      <c r="I6" s="76" t="s">
        <v>332</v>
      </c>
      <c r="J6" s="76" t="s">
        <v>332</v>
      </c>
      <c r="K6" s="76" t="s">
        <v>332</v>
      </c>
      <c r="L6" s="76" t="s">
        <v>332</v>
      </c>
      <c r="M6" s="76"/>
      <c r="N6" s="76"/>
      <c r="O6" s="76"/>
      <c r="P6" s="77"/>
      <c r="Q6" s="79"/>
      <c r="R6" s="79"/>
      <c r="S6" s="79"/>
      <c r="T6" s="79"/>
      <c r="U6" s="79"/>
    </row>
    <row r="7" spans="1:21" ht="14.5" customHeight="1">
      <c r="A7" s="57" t="s">
        <v>487</v>
      </c>
      <c r="B7" s="59" t="s">
        <v>27</v>
      </c>
      <c r="C7" s="60" t="s">
        <v>33</v>
      </c>
      <c r="D7" s="60" t="s">
        <v>33</v>
      </c>
      <c r="E7" s="60" t="s">
        <v>33</v>
      </c>
      <c r="F7" s="60" t="s">
        <v>33</v>
      </c>
      <c r="G7" s="60" t="s">
        <v>33</v>
      </c>
      <c r="H7" s="60" t="s">
        <v>33</v>
      </c>
      <c r="I7" s="60" t="s">
        <v>33</v>
      </c>
      <c r="J7" s="60" t="s">
        <v>33</v>
      </c>
      <c r="K7" s="59" t="s">
        <v>27</v>
      </c>
      <c r="L7" s="60" t="s">
        <v>33</v>
      </c>
      <c r="M7" s="60" t="s">
        <v>33</v>
      </c>
      <c r="N7" s="60" t="s">
        <v>33</v>
      </c>
      <c r="O7" s="59">
        <f t="shared" si="0"/>
        <v>2</v>
      </c>
      <c r="P7" s="53">
        <f>O7/13</f>
        <v>0.15384615384615385</v>
      </c>
      <c r="Q7" s="64" t="s">
        <v>34</v>
      </c>
      <c r="R7" s="64" t="s">
        <v>37</v>
      </c>
      <c r="S7" s="64" t="s">
        <v>123</v>
      </c>
      <c r="T7" s="64" t="s">
        <v>149</v>
      </c>
      <c r="U7" s="64" t="s">
        <v>145</v>
      </c>
    </row>
    <row r="8" spans="1:21" ht="14.5" customHeight="1">
      <c r="A8" s="57" t="s">
        <v>488</v>
      </c>
      <c r="B8" s="59" t="s">
        <v>27</v>
      </c>
      <c r="C8" s="60" t="s">
        <v>33</v>
      </c>
      <c r="D8" s="59" t="s">
        <v>27</v>
      </c>
      <c r="E8" s="59" t="s">
        <v>27</v>
      </c>
      <c r="F8" s="60" t="s">
        <v>33</v>
      </c>
      <c r="G8" s="59" t="s">
        <v>27</v>
      </c>
      <c r="H8" s="59" t="s">
        <v>27</v>
      </c>
      <c r="I8" s="59" t="s">
        <v>27</v>
      </c>
      <c r="J8" s="59" t="s">
        <v>27</v>
      </c>
      <c r="K8" s="59" t="s">
        <v>27</v>
      </c>
      <c r="L8" s="59" t="s">
        <v>27</v>
      </c>
      <c r="M8" s="59" t="s">
        <v>27</v>
      </c>
      <c r="N8" s="59" t="s">
        <v>27</v>
      </c>
      <c r="O8" s="59">
        <f t="shared" si="0"/>
        <v>11</v>
      </c>
      <c r="P8" s="53">
        <f t="shared" ref="P8:P11" si="1">O8/13</f>
        <v>0.84615384615384615</v>
      </c>
      <c r="Q8" s="64" t="s">
        <v>34</v>
      </c>
      <c r="R8" s="64" t="s">
        <v>37</v>
      </c>
      <c r="S8" s="64" t="s">
        <v>123</v>
      </c>
      <c r="T8" s="64" t="s">
        <v>382</v>
      </c>
      <c r="U8" s="64" t="s">
        <v>115</v>
      </c>
    </row>
    <row r="9" spans="1:21" ht="14.5" customHeight="1">
      <c r="A9" s="57" t="s">
        <v>489</v>
      </c>
      <c r="B9" s="60" t="s">
        <v>33</v>
      </c>
      <c r="C9" s="60" t="s">
        <v>33</v>
      </c>
      <c r="D9" s="60" t="s">
        <v>33</v>
      </c>
      <c r="E9" s="60" t="s">
        <v>33</v>
      </c>
      <c r="F9" s="60" t="s">
        <v>33</v>
      </c>
      <c r="G9" s="59" t="s">
        <v>27</v>
      </c>
      <c r="H9" s="60" t="s">
        <v>33</v>
      </c>
      <c r="I9" s="60" t="s">
        <v>33</v>
      </c>
      <c r="J9" s="59" t="s">
        <v>27</v>
      </c>
      <c r="K9" s="59" t="s">
        <v>27</v>
      </c>
      <c r="L9" s="60" t="s">
        <v>33</v>
      </c>
      <c r="M9" s="60" t="s">
        <v>33</v>
      </c>
      <c r="N9" s="59" t="s">
        <v>27</v>
      </c>
      <c r="O9" s="59">
        <f t="shared" si="0"/>
        <v>4</v>
      </c>
      <c r="P9" s="53">
        <f t="shared" si="1"/>
        <v>0.30769230769230771</v>
      </c>
      <c r="Q9" s="64" t="s">
        <v>34</v>
      </c>
      <c r="R9" s="64" t="s">
        <v>164</v>
      </c>
      <c r="S9" s="64" t="s">
        <v>129</v>
      </c>
      <c r="T9" s="64" t="s">
        <v>280</v>
      </c>
      <c r="U9" s="64" t="s">
        <v>145</v>
      </c>
    </row>
    <row r="10" spans="1:21" ht="14.5" customHeight="1">
      <c r="A10" s="57" t="s">
        <v>490</v>
      </c>
      <c r="B10" s="60" t="s">
        <v>33</v>
      </c>
      <c r="C10" s="60" t="s">
        <v>33</v>
      </c>
      <c r="D10" s="60" t="s">
        <v>33</v>
      </c>
      <c r="E10" s="60" t="s">
        <v>33</v>
      </c>
      <c r="F10" s="60" t="s">
        <v>33</v>
      </c>
      <c r="G10" s="59" t="s">
        <v>27</v>
      </c>
      <c r="H10" s="60" t="s">
        <v>33</v>
      </c>
      <c r="I10" s="60" t="s">
        <v>33</v>
      </c>
      <c r="J10" s="59" t="s">
        <v>27</v>
      </c>
      <c r="K10" s="59" t="s">
        <v>27</v>
      </c>
      <c r="L10" s="60" t="s">
        <v>33</v>
      </c>
      <c r="M10" s="60" t="s">
        <v>33</v>
      </c>
      <c r="N10" s="59" t="s">
        <v>27</v>
      </c>
      <c r="O10" s="59">
        <f t="shared" si="0"/>
        <v>4</v>
      </c>
      <c r="P10" s="53">
        <f t="shared" si="1"/>
        <v>0.30769230769230771</v>
      </c>
      <c r="Q10" s="64" t="s">
        <v>34</v>
      </c>
      <c r="R10" s="64" t="s">
        <v>37</v>
      </c>
      <c r="S10" s="64" t="s">
        <v>123</v>
      </c>
      <c r="T10" s="64" t="s">
        <v>149</v>
      </c>
      <c r="U10" s="64" t="s">
        <v>145</v>
      </c>
    </row>
    <row r="11" spans="1:21" ht="14.5" customHeight="1">
      <c r="A11" s="57" t="s">
        <v>491</v>
      </c>
      <c r="B11" s="60" t="s">
        <v>33</v>
      </c>
      <c r="C11" s="59" t="s">
        <v>27</v>
      </c>
      <c r="D11" s="60" t="s">
        <v>33</v>
      </c>
      <c r="E11" s="59" t="s">
        <v>27</v>
      </c>
      <c r="F11" s="60" t="s">
        <v>33</v>
      </c>
      <c r="G11" s="60" t="s">
        <v>33</v>
      </c>
      <c r="H11" s="60" t="s">
        <v>33</v>
      </c>
      <c r="I11" s="60" t="s">
        <v>33</v>
      </c>
      <c r="J11" s="60" t="s">
        <v>33</v>
      </c>
      <c r="K11" s="60" t="s">
        <v>33</v>
      </c>
      <c r="L11" s="60" t="s">
        <v>33</v>
      </c>
      <c r="M11" s="60" t="s">
        <v>33</v>
      </c>
      <c r="N11" s="60" t="s">
        <v>33</v>
      </c>
      <c r="O11" s="59">
        <f t="shared" si="0"/>
        <v>2</v>
      </c>
      <c r="P11" s="53">
        <f t="shared" si="1"/>
        <v>0.15384615384615385</v>
      </c>
      <c r="Q11" s="64" t="s">
        <v>34</v>
      </c>
      <c r="R11" s="64" t="s">
        <v>29</v>
      </c>
      <c r="S11" s="64" t="s">
        <v>694</v>
      </c>
      <c r="T11" s="64" t="s">
        <v>300</v>
      </c>
      <c r="U11" s="64" t="s">
        <v>301</v>
      </c>
    </row>
    <row r="12" spans="1:21" s="73" customFormat="1" ht="14.5" customHeight="1">
      <c r="A12" s="75" t="s">
        <v>492</v>
      </c>
      <c r="B12" s="76" t="s">
        <v>332</v>
      </c>
      <c r="C12" s="76" t="s">
        <v>332</v>
      </c>
      <c r="D12" s="76" t="s">
        <v>332</v>
      </c>
      <c r="E12" s="76" t="s">
        <v>332</v>
      </c>
      <c r="F12" s="76" t="s">
        <v>332</v>
      </c>
      <c r="G12" s="76" t="s">
        <v>332</v>
      </c>
      <c r="H12" s="76" t="s">
        <v>332</v>
      </c>
      <c r="I12" s="76" t="s">
        <v>332</v>
      </c>
      <c r="J12" s="76" t="s">
        <v>332</v>
      </c>
      <c r="K12" s="76" t="s">
        <v>332</v>
      </c>
      <c r="L12" s="76"/>
      <c r="M12" s="76"/>
      <c r="N12" s="76"/>
      <c r="O12" s="76"/>
      <c r="P12" s="77"/>
      <c r="Q12" s="79"/>
      <c r="R12" s="79"/>
      <c r="S12" s="79"/>
      <c r="T12" s="79"/>
      <c r="U12" s="79"/>
    </row>
    <row r="13" spans="1:21" ht="14.5" customHeight="1">
      <c r="A13" s="57" t="s">
        <v>493</v>
      </c>
      <c r="B13" s="59" t="s">
        <v>27</v>
      </c>
      <c r="C13" s="60" t="s">
        <v>33</v>
      </c>
      <c r="D13" s="60" t="s">
        <v>33</v>
      </c>
      <c r="E13" s="60" t="s">
        <v>33</v>
      </c>
      <c r="F13" s="60" t="s">
        <v>33</v>
      </c>
      <c r="G13" s="60" t="s">
        <v>33</v>
      </c>
      <c r="H13" s="60" t="s">
        <v>33</v>
      </c>
      <c r="I13" s="60" t="s">
        <v>33</v>
      </c>
      <c r="J13" s="60" t="s">
        <v>33</v>
      </c>
      <c r="K13" s="60" t="s">
        <v>33</v>
      </c>
      <c r="L13" s="60" t="s">
        <v>33</v>
      </c>
      <c r="M13" s="60" t="s">
        <v>33</v>
      </c>
      <c r="N13" s="60" t="s">
        <v>33</v>
      </c>
      <c r="O13" s="59">
        <f t="shared" si="0"/>
        <v>1</v>
      </c>
      <c r="P13" s="53">
        <f>O13/13</f>
        <v>7.6923076923076927E-2</v>
      </c>
      <c r="Q13" s="64" t="s">
        <v>34</v>
      </c>
      <c r="R13" s="64" t="s">
        <v>29</v>
      </c>
      <c r="S13" s="64" t="s">
        <v>307</v>
      </c>
      <c r="T13" s="64" t="s">
        <v>124</v>
      </c>
      <c r="U13" s="64" t="s">
        <v>308</v>
      </c>
    </row>
    <row r="14" spans="1:21" ht="14.5" customHeight="1">
      <c r="A14" s="57"/>
      <c r="B14" s="59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59"/>
      <c r="P14" s="53"/>
      <c r="Q14" s="64" t="s">
        <v>34</v>
      </c>
      <c r="R14" s="64" t="s">
        <v>29</v>
      </c>
      <c r="S14" s="64" t="s">
        <v>307</v>
      </c>
      <c r="T14" s="64" t="s">
        <v>693</v>
      </c>
      <c r="U14" s="64" t="s">
        <v>145</v>
      </c>
    </row>
    <row r="15" spans="1:21" ht="14.5" customHeight="1">
      <c r="A15" s="57" t="s">
        <v>494</v>
      </c>
      <c r="B15" s="59" t="s">
        <v>27</v>
      </c>
      <c r="C15" s="60" t="s">
        <v>33</v>
      </c>
      <c r="D15" s="60" t="s">
        <v>33</v>
      </c>
      <c r="E15" s="60" t="s">
        <v>33</v>
      </c>
      <c r="F15" s="60" t="s">
        <v>33</v>
      </c>
      <c r="G15" s="60" t="s">
        <v>33</v>
      </c>
      <c r="H15" s="60" t="s">
        <v>33</v>
      </c>
      <c r="I15" s="60" t="s">
        <v>33</v>
      </c>
      <c r="J15" s="60" t="s">
        <v>33</v>
      </c>
      <c r="K15" s="60" t="s">
        <v>33</v>
      </c>
      <c r="L15" s="60" t="s">
        <v>33</v>
      </c>
      <c r="M15" s="60" t="s">
        <v>33</v>
      </c>
      <c r="N15" s="60" t="s">
        <v>33</v>
      </c>
      <c r="O15" s="59">
        <f t="shared" si="0"/>
        <v>1</v>
      </c>
      <c r="P15" s="53">
        <f t="shared" ref="P15:P23" si="2">O15/13</f>
        <v>7.6923076923076927E-2</v>
      </c>
      <c r="Q15" s="64" t="s">
        <v>34</v>
      </c>
      <c r="R15" s="64" t="s">
        <v>29</v>
      </c>
      <c r="S15" s="64" t="s">
        <v>307</v>
      </c>
      <c r="T15" s="64" t="s">
        <v>124</v>
      </c>
      <c r="U15" s="64" t="s">
        <v>308</v>
      </c>
    </row>
    <row r="16" spans="1:21" ht="14.5" customHeight="1">
      <c r="A16" s="57"/>
      <c r="B16" s="59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59"/>
      <c r="P16" s="53"/>
      <c r="Q16" s="64" t="s">
        <v>34</v>
      </c>
      <c r="R16" s="64" t="s">
        <v>29</v>
      </c>
      <c r="S16" s="64" t="s">
        <v>307</v>
      </c>
      <c r="T16" s="64" t="s">
        <v>693</v>
      </c>
      <c r="U16" s="64" t="s">
        <v>145</v>
      </c>
    </row>
    <row r="17" spans="1:21" ht="14.5" customHeight="1">
      <c r="A17" s="57" t="s">
        <v>495</v>
      </c>
      <c r="B17" s="59" t="s">
        <v>27</v>
      </c>
      <c r="C17" s="60" t="s">
        <v>33</v>
      </c>
      <c r="D17" s="60" t="s">
        <v>33</v>
      </c>
      <c r="E17" s="60" t="s">
        <v>33</v>
      </c>
      <c r="F17" s="60" t="s">
        <v>33</v>
      </c>
      <c r="G17" s="60" t="s">
        <v>33</v>
      </c>
      <c r="H17" s="60" t="s">
        <v>33</v>
      </c>
      <c r="I17" s="60" t="s">
        <v>33</v>
      </c>
      <c r="J17" s="60" t="s">
        <v>33</v>
      </c>
      <c r="K17" s="60" t="s">
        <v>33</v>
      </c>
      <c r="L17" s="60" t="s">
        <v>33</v>
      </c>
      <c r="M17" s="60" t="s">
        <v>33</v>
      </c>
      <c r="N17" s="60" t="s">
        <v>33</v>
      </c>
      <c r="O17" s="59">
        <f t="shared" si="0"/>
        <v>1</v>
      </c>
      <c r="P17" s="53">
        <f t="shared" si="2"/>
        <v>7.6923076923076927E-2</v>
      </c>
      <c r="Q17" s="64" t="s">
        <v>34</v>
      </c>
      <c r="R17" s="64" t="s">
        <v>29</v>
      </c>
      <c r="S17" s="64" t="s">
        <v>307</v>
      </c>
      <c r="T17" s="64" t="s">
        <v>124</v>
      </c>
      <c r="U17" s="64" t="s">
        <v>308</v>
      </c>
    </row>
    <row r="18" spans="1:21" ht="14.5" customHeight="1">
      <c r="A18" s="57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59"/>
      <c r="P18" s="53"/>
      <c r="Q18" s="64" t="s">
        <v>34</v>
      </c>
      <c r="R18" s="64" t="s">
        <v>29</v>
      </c>
      <c r="S18" s="64" t="s">
        <v>307</v>
      </c>
      <c r="T18" s="64" t="s">
        <v>693</v>
      </c>
      <c r="U18" s="64" t="s">
        <v>145</v>
      </c>
    </row>
    <row r="19" spans="1:21" ht="14.5" customHeight="1">
      <c r="A19" s="57" t="s">
        <v>496</v>
      </c>
      <c r="B19" s="60" t="s">
        <v>33</v>
      </c>
      <c r="C19" s="60" t="s">
        <v>33</v>
      </c>
      <c r="D19" s="59" t="s">
        <v>27</v>
      </c>
      <c r="E19" s="60" t="s">
        <v>33</v>
      </c>
      <c r="F19" s="59" t="s">
        <v>27</v>
      </c>
      <c r="G19" s="60" t="s">
        <v>33</v>
      </c>
      <c r="H19" s="60" t="s">
        <v>33</v>
      </c>
      <c r="I19" s="59" t="s">
        <v>27</v>
      </c>
      <c r="J19" s="60" t="s">
        <v>33</v>
      </c>
      <c r="K19" s="60" t="s">
        <v>33</v>
      </c>
      <c r="L19" s="60" t="s">
        <v>33</v>
      </c>
      <c r="M19" s="60" t="s">
        <v>33</v>
      </c>
      <c r="N19" s="60" t="s">
        <v>33</v>
      </c>
      <c r="O19" s="59">
        <f t="shared" si="0"/>
        <v>3</v>
      </c>
      <c r="P19" s="53">
        <f t="shared" si="2"/>
        <v>0.23076923076923078</v>
      </c>
      <c r="Q19" s="64" t="s">
        <v>34</v>
      </c>
      <c r="R19" s="64" t="s">
        <v>29</v>
      </c>
      <c r="S19" s="64" t="s">
        <v>307</v>
      </c>
      <c r="T19" s="64" t="s">
        <v>124</v>
      </c>
      <c r="U19" s="64" t="s">
        <v>308</v>
      </c>
    </row>
    <row r="20" spans="1:21" ht="14.5" customHeight="1">
      <c r="A20" s="57"/>
      <c r="B20" s="60"/>
      <c r="C20" s="60"/>
      <c r="D20" s="59"/>
      <c r="E20" s="60"/>
      <c r="F20" s="59"/>
      <c r="G20" s="60"/>
      <c r="H20" s="60"/>
      <c r="I20" s="59"/>
      <c r="J20" s="60"/>
      <c r="K20" s="60"/>
      <c r="L20" s="60"/>
      <c r="M20" s="60"/>
      <c r="N20" s="60"/>
      <c r="O20" s="59"/>
      <c r="P20" s="53"/>
      <c r="Q20" s="64" t="s">
        <v>34</v>
      </c>
      <c r="R20" s="64" t="s">
        <v>29</v>
      </c>
      <c r="S20" s="64" t="s">
        <v>307</v>
      </c>
      <c r="T20" s="64" t="s">
        <v>693</v>
      </c>
      <c r="U20" s="64" t="s">
        <v>145</v>
      </c>
    </row>
    <row r="21" spans="1:21" ht="14.5" customHeight="1">
      <c r="A21" s="57" t="s">
        <v>497</v>
      </c>
      <c r="B21" s="60" t="s">
        <v>33</v>
      </c>
      <c r="C21" s="60" t="s">
        <v>33</v>
      </c>
      <c r="D21" s="60" t="s">
        <v>33</v>
      </c>
      <c r="E21" s="60" t="s">
        <v>33</v>
      </c>
      <c r="F21" s="60" t="s">
        <v>33</v>
      </c>
      <c r="G21" s="59" t="s">
        <v>27</v>
      </c>
      <c r="H21" s="60" t="s">
        <v>33</v>
      </c>
      <c r="I21" s="60" t="s">
        <v>33</v>
      </c>
      <c r="J21" s="60" t="s">
        <v>33</v>
      </c>
      <c r="K21" s="60" t="s">
        <v>33</v>
      </c>
      <c r="L21" s="60" t="s">
        <v>33</v>
      </c>
      <c r="M21" s="59" t="s">
        <v>27</v>
      </c>
      <c r="N21" s="60" t="s">
        <v>33</v>
      </c>
      <c r="O21" s="59">
        <f t="shared" si="0"/>
        <v>2</v>
      </c>
      <c r="P21" s="53">
        <f t="shared" si="2"/>
        <v>0.15384615384615385</v>
      </c>
      <c r="Q21" s="64" t="s">
        <v>34</v>
      </c>
      <c r="R21" s="64" t="s">
        <v>29</v>
      </c>
      <c r="S21" s="64" t="s">
        <v>307</v>
      </c>
      <c r="T21" s="64" t="s">
        <v>124</v>
      </c>
      <c r="U21" s="64" t="s">
        <v>308</v>
      </c>
    </row>
    <row r="22" spans="1:21" ht="14.5" customHeight="1">
      <c r="A22" s="57"/>
      <c r="B22" s="60"/>
      <c r="C22" s="60"/>
      <c r="D22" s="60"/>
      <c r="E22" s="60"/>
      <c r="F22" s="60"/>
      <c r="G22" s="59"/>
      <c r="H22" s="60"/>
      <c r="I22" s="60"/>
      <c r="J22" s="60"/>
      <c r="K22" s="60"/>
      <c r="L22" s="60"/>
      <c r="M22" s="59"/>
      <c r="N22" s="60"/>
      <c r="O22" s="59"/>
      <c r="P22" s="53"/>
      <c r="Q22" s="64" t="s">
        <v>34</v>
      </c>
      <c r="R22" s="64" t="s">
        <v>29</v>
      </c>
      <c r="S22" s="64" t="s">
        <v>307</v>
      </c>
      <c r="T22" s="64" t="s">
        <v>693</v>
      </c>
      <c r="U22" s="64" t="s">
        <v>145</v>
      </c>
    </row>
    <row r="23" spans="1:21" ht="14.5" customHeight="1">
      <c r="A23" s="57" t="s">
        <v>498</v>
      </c>
      <c r="B23" s="59" t="s">
        <v>27</v>
      </c>
      <c r="C23" s="60" t="s">
        <v>33</v>
      </c>
      <c r="D23" s="60" t="s">
        <v>33</v>
      </c>
      <c r="E23" s="60" t="s">
        <v>33</v>
      </c>
      <c r="F23" s="60" t="s">
        <v>33</v>
      </c>
      <c r="G23" s="60" t="s">
        <v>33</v>
      </c>
      <c r="H23" s="60" t="s">
        <v>33</v>
      </c>
      <c r="I23" s="60" t="s">
        <v>33</v>
      </c>
      <c r="J23" s="60" t="s">
        <v>33</v>
      </c>
      <c r="K23" s="60" t="s">
        <v>33</v>
      </c>
      <c r="L23" s="60" t="s">
        <v>33</v>
      </c>
      <c r="M23" s="60" t="s">
        <v>33</v>
      </c>
      <c r="N23" s="60" t="s">
        <v>33</v>
      </c>
      <c r="O23" s="59">
        <f t="shared" si="0"/>
        <v>1</v>
      </c>
      <c r="P23" s="53">
        <f t="shared" si="2"/>
        <v>7.6923076923076927E-2</v>
      </c>
      <c r="Q23" s="64" t="s">
        <v>34</v>
      </c>
      <c r="R23" s="64" t="s">
        <v>29</v>
      </c>
      <c r="S23" s="64" t="s">
        <v>694</v>
      </c>
      <c r="T23" s="64" t="s">
        <v>300</v>
      </c>
      <c r="U23" s="64" t="s">
        <v>301</v>
      </c>
    </row>
    <row r="24" spans="1:21" s="73" customFormat="1" ht="14.5" customHeight="1">
      <c r="A24" s="75" t="s">
        <v>499</v>
      </c>
      <c r="B24" s="76" t="s">
        <v>332</v>
      </c>
      <c r="C24" s="76" t="s">
        <v>332</v>
      </c>
      <c r="D24" s="76" t="s">
        <v>332</v>
      </c>
      <c r="E24" s="76" t="s">
        <v>332</v>
      </c>
      <c r="F24" s="76" t="s">
        <v>332</v>
      </c>
      <c r="G24" s="76" t="s">
        <v>332</v>
      </c>
      <c r="H24" s="76" t="s">
        <v>332</v>
      </c>
      <c r="I24" s="76" t="s">
        <v>332</v>
      </c>
      <c r="J24" s="76" t="s">
        <v>332</v>
      </c>
      <c r="K24" s="76" t="s">
        <v>332</v>
      </c>
      <c r="L24" s="76" t="s">
        <v>332</v>
      </c>
      <c r="M24" s="76"/>
      <c r="N24" s="76"/>
      <c r="O24" s="76"/>
      <c r="P24" s="77"/>
      <c r="Q24" s="79"/>
      <c r="R24" s="79"/>
      <c r="S24" s="79"/>
      <c r="T24" s="79"/>
      <c r="U24" s="79"/>
    </row>
    <row r="25" spans="1:21" ht="14.5" customHeight="1">
      <c r="A25" s="57" t="s">
        <v>500</v>
      </c>
      <c r="B25" s="60" t="s">
        <v>33</v>
      </c>
      <c r="C25" s="60" t="s">
        <v>33</v>
      </c>
      <c r="D25" s="60" t="s">
        <v>33</v>
      </c>
      <c r="E25" s="60" t="s">
        <v>33</v>
      </c>
      <c r="F25" s="59" t="s">
        <v>27</v>
      </c>
      <c r="G25" s="60" t="s">
        <v>33</v>
      </c>
      <c r="H25" s="60" t="s">
        <v>33</v>
      </c>
      <c r="I25" s="60" t="s">
        <v>33</v>
      </c>
      <c r="J25" s="60" t="s">
        <v>33</v>
      </c>
      <c r="K25" s="60" t="s">
        <v>33</v>
      </c>
      <c r="L25" s="60" t="s">
        <v>33</v>
      </c>
      <c r="M25" s="60" t="s">
        <v>33</v>
      </c>
      <c r="N25" s="60" t="s">
        <v>33</v>
      </c>
      <c r="O25" s="59">
        <f t="shared" si="0"/>
        <v>1</v>
      </c>
      <c r="P25" s="53">
        <f>O25/13</f>
        <v>7.6923076923076927E-2</v>
      </c>
      <c r="Q25" s="64" t="s">
        <v>34</v>
      </c>
      <c r="R25" s="64" t="s">
        <v>29</v>
      </c>
      <c r="S25" s="64" t="s">
        <v>307</v>
      </c>
      <c r="T25" s="64" t="s">
        <v>124</v>
      </c>
      <c r="U25" s="64" t="s">
        <v>308</v>
      </c>
    </row>
    <row r="26" spans="1:21" ht="14.5" customHeight="1">
      <c r="A26" s="57"/>
      <c r="B26" s="60"/>
      <c r="C26" s="60"/>
      <c r="D26" s="60"/>
      <c r="E26" s="60"/>
      <c r="F26" s="59"/>
      <c r="G26" s="60"/>
      <c r="H26" s="60"/>
      <c r="I26" s="60"/>
      <c r="J26" s="60"/>
      <c r="K26" s="60"/>
      <c r="L26" s="60"/>
      <c r="M26" s="60"/>
      <c r="N26" s="60"/>
      <c r="O26" s="59"/>
      <c r="P26" s="53"/>
      <c r="Q26" s="64" t="s">
        <v>34</v>
      </c>
      <c r="R26" s="64" t="s">
        <v>29</v>
      </c>
      <c r="S26" s="64" t="s">
        <v>307</v>
      </c>
      <c r="T26" s="64" t="s">
        <v>693</v>
      </c>
      <c r="U26" s="64" t="s">
        <v>145</v>
      </c>
    </row>
    <row r="27" spans="1:21" ht="14.5" customHeight="1">
      <c r="A27" s="57" t="s">
        <v>501</v>
      </c>
      <c r="B27" s="60" t="s">
        <v>33</v>
      </c>
      <c r="C27" s="60" t="s">
        <v>33</v>
      </c>
      <c r="D27" s="60" t="s">
        <v>33</v>
      </c>
      <c r="E27" s="60" t="s">
        <v>33</v>
      </c>
      <c r="F27" s="59" t="s">
        <v>27</v>
      </c>
      <c r="G27" s="60" t="s">
        <v>33</v>
      </c>
      <c r="H27" s="60" t="s">
        <v>33</v>
      </c>
      <c r="I27" s="60" t="s">
        <v>33</v>
      </c>
      <c r="J27" s="60" t="s">
        <v>33</v>
      </c>
      <c r="K27" s="60" t="s">
        <v>33</v>
      </c>
      <c r="L27" s="60" t="s">
        <v>33</v>
      </c>
      <c r="M27" s="60" t="s">
        <v>33</v>
      </c>
      <c r="N27" s="60" t="s">
        <v>33</v>
      </c>
      <c r="O27" s="59">
        <f t="shared" si="0"/>
        <v>1</v>
      </c>
      <c r="P27" s="53">
        <f>O27/13</f>
        <v>7.6923076923076927E-2</v>
      </c>
      <c r="Q27" s="64" t="s">
        <v>34</v>
      </c>
      <c r="R27" s="64" t="s">
        <v>29</v>
      </c>
      <c r="S27" s="64" t="s">
        <v>307</v>
      </c>
      <c r="T27" s="64" t="s">
        <v>124</v>
      </c>
      <c r="U27" s="64" t="s">
        <v>308</v>
      </c>
    </row>
    <row r="28" spans="1:21" ht="14.5" customHeight="1">
      <c r="A28" s="57"/>
      <c r="B28" s="60"/>
      <c r="C28" s="60"/>
      <c r="D28" s="60"/>
      <c r="E28" s="60"/>
      <c r="F28" s="59"/>
      <c r="G28" s="60"/>
      <c r="H28" s="60"/>
      <c r="I28" s="60"/>
      <c r="J28" s="60"/>
      <c r="K28" s="60"/>
      <c r="L28" s="60"/>
      <c r="M28" s="60"/>
      <c r="N28" s="60"/>
      <c r="O28" s="59"/>
      <c r="P28" s="53"/>
      <c r="Q28" s="64" t="s">
        <v>34</v>
      </c>
      <c r="R28" s="64" t="s">
        <v>29</v>
      </c>
      <c r="S28" s="64" t="s">
        <v>307</v>
      </c>
      <c r="T28" s="64" t="s">
        <v>693</v>
      </c>
      <c r="U28" s="64" t="s"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C820-A91F-4512-8287-F6D1D6612C65}">
  <sheetPr codeName="Sheet10"/>
  <dimension ref="A1:U10"/>
  <sheetViews>
    <sheetView zoomScale="85" zoomScaleNormal="85" workbookViewId="0">
      <pane xSplit="1" topLeftCell="S1" activePane="topRight" state="frozen"/>
      <selection pane="topRight" activeCell="T21" sqref="T21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63" t="s">
        <v>502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503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504</v>
      </c>
      <c r="B2" s="76" t="s">
        <v>332</v>
      </c>
      <c r="C2" s="76" t="s">
        <v>332</v>
      </c>
      <c r="D2" s="76" t="s">
        <v>332</v>
      </c>
      <c r="E2" s="76" t="s">
        <v>332</v>
      </c>
      <c r="F2" s="76" t="s">
        <v>332</v>
      </c>
      <c r="G2" s="76" t="s">
        <v>332</v>
      </c>
      <c r="H2" s="76" t="s">
        <v>332</v>
      </c>
      <c r="I2" s="76" t="s">
        <v>332</v>
      </c>
      <c r="J2" s="76" t="s">
        <v>332</v>
      </c>
      <c r="K2" s="76" t="s">
        <v>332</v>
      </c>
      <c r="L2" s="76" t="s">
        <v>332</v>
      </c>
      <c r="M2" s="76"/>
      <c r="N2" s="76" t="s">
        <v>332</v>
      </c>
      <c r="O2" s="76"/>
      <c r="P2" s="76"/>
      <c r="Q2" s="79"/>
      <c r="R2" s="79"/>
      <c r="S2" s="79"/>
      <c r="T2" s="79"/>
      <c r="U2" s="79"/>
    </row>
    <row r="3" spans="1:21" ht="14.5" customHeight="1">
      <c r="A3" s="57" t="s">
        <v>505</v>
      </c>
      <c r="B3" s="59" t="s">
        <v>27</v>
      </c>
      <c r="C3" s="59" t="s">
        <v>27</v>
      </c>
      <c r="D3" s="60" t="s">
        <v>33</v>
      </c>
      <c r="E3" s="60" t="s">
        <v>33</v>
      </c>
      <c r="F3" s="60" t="s">
        <v>33</v>
      </c>
      <c r="G3" s="60" t="s">
        <v>33</v>
      </c>
      <c r="H3" s="60" t="s">
        <v>33</v>
      </c>
      <c r="I3" s="60" t="s">
        <v>33</v>
      </c>
      <c r="J3" s="60" t="s">
        <v>33</v>
      </c>
      <c r="K3" s="60" t="s">
        <v>33</v>
      </c>
      <c r="L3" s="60" t="s">
        <v>33</v>
      </c>
      <c r="M3" s="60"/>
      <c r="N3" s="60" t="s">
        <v>33</v>
      </c>
      <c r="O3" s="59">
        <f>COUNTIF(B3:N3,"✔")</f>
        <v>2</v>
      </c>
      <c r="P3" s="53">
        <f>O3/13</f>
        <v>0.15384615384615385</v>
      </c>
      <c r="Q3" s="64" t="s">
        <v>34</v>
      </c>
      <c r="R3" s="64" t="s">
        <v>29</v>
      </c>
      <c r="S3" s="64" t="s">
        <v>694</v>
      </c>
      <c r="T3" s="64" t="s">
        <v>300</v>
      </c>
      <c r="U3" s="64" t="s">
        <v>301</v>
      </c>
    </row>
    <row r="4" spans="1:21" ht="14.5" customHeight="1">
      <c r="A4" s="57" t="s">
        <v>506</v>
      </c>
      <c r="B4" s="60" t="s">
        <v>33</v>
      </c>
      <c r="C4" s="59" t="s">
        <v>27</v>
      </c>
      <c r="D4" s="59" t="s">
        <v>27</v>
      </c>
      <c r="E4" s="60" t="s">
        <v>33</v>
      </c>
      <c r="F4" s="60" t="s">
        <v>33</v>
      </c>
      <c r="G4" s="60" t="s">
        <v>33</v>
      </c>
      <c r="H4" s="60" t="s">
        <v>33</v>
      </c>
      <c r="I4" s="60" t="s">
        <v>33</v>
      </c>
      <c r="J4" s="60" t="s">
        <v>33</v>
      </c>
      <c r="K4" s="60" t="s">
        <v>33</v>
      </c>
      <c r="L4" s="60" t="s">
        <v>33</v>
      </c>
      <c r="M4" s="60"/>
      <c r="N4" s="60" t="s">
        <v>33</v>
      </c>
      <c r="O4" s="59">
        <f t="shared" ref="O4:O10" si="0">COUNTIF(B4:N4,"✔")</f>
        <v>2</v>
      </c>
      <c r="P4" s="53">
        <f t="shared" ref="P4:P6" si="1">O4/13</f>
        <v>0.15384615384615385</v>
      </c>
      <c r="Q4" s="64" t="s">
        <v>34</v>
      </c>
      <c r="R4" s="64" t="s">
        <v>29</v>
      </c>
      <c r="S4" s="64" t="s">
        <v>307</v>
      </c>
      <c r="T4" s="64" t="s">
        <v>124</v>
      </c>
      <c r="U4" s="64" t="s">
        <v>308</v>
      </c>
    </row>
    <row r="5" spans="1:21" ht="14.5" customHeight="1">
      <c r="A5" s="57"/>
      <c r="B5" s="60"/>
      <c r="C5" s="59"/>
      <c r="D5" s="59"/>
      <c r="E5" s="60"/>
      <c r="F5" s="60"/>
      <c r="G5" s="60"/>
      <c r="H5" s="60"/>
      <c r="I5" s="60"/>
      <c r="J5" s="60"/>
      <c r="K5" s="60"/>
      <c r="L5" s="60"/>
      <c r="M5" s="60"/>
      <c r="N5" s="60"/>
      <c r="O5" s="59"/>
      <c r="P5" s="53"/>
      <c r="Q5" s="64" t="s">
        <v>34</v>
      </c>
      <c r="R5" s="64" t="s">
        <v>29</v>
      </c>
      <c r="S5" s="64" t="s">
        <v>307</v>
      </c>
      <c r="T5" s="64" t="s">
        <v>693</v>
      </c>
      <c r="U5" s="64" t="s">
        <v>145</v>
      </c>
    </row>
    <row r="6" spans="1:21" ht="14.5" customHeight="1">
      <c r="A6" s="57" t="s">
        <v>507</v>
      </c>
      <c r="B6" s="60" t="s">
        <v>33</v>
      </c>
      <c r="C6" s="60" t="s">
        <v>33</v>
      </c>
      <c r="D6" s="60" t="s">
        <v>33</v>
      </c>
      <c r="E6" s="60" t="s">
        <v>33</v>
      </c>
      <c r="F6" s="59" t="s">
        <v>27</v>
      </c>
      <c r="G6" s="60" t="s">
        <v>33</v>
      </c>
      <c r="H6" s="60" t="s">
        <v>33</v>
      </c>
      <c r="I6" s="60" t="s">
        <v>33</v>
      </c>
      <c r="J6" s="60" t="s">
        <v>33</v>
      </c>
      <c r="K6" s="60" t="s">
        <v>33</v>
      </c>
      <c r="L6" s="60" t="s">
        <v>33</v>
      </c>
      <c r="M6" s="60"/>
      <c r="N6" s="60" t="s">
        <v>33</v>
      </c>
      <c r="O6" s="59">
        <f t="shared" si="0"/>
        <v>1</v>
      </c>
      <c r="P6" s="53">
        <f t="shared" si="1"/>
        <v>7.6923076923076927E-2</v>
      </c>
      <c r="Q6" s="64" t="s">
        <v>34</v>
      </c>
      <c r="R6" s="64" t="s">
        <v>29</v>
      </c>
      <c r="S6" s="64" t="s">
        <v>694</v>
      </c>
      <c r="T6" s="64" t="s">
        <v>300</v>
      </c>
      <c r="U6" s="64" t="s">
        <v>301</v>
      </c>
    </row>
    <row r="7" spans="1:21" s="73" customFormat="1" ht="14.5" customHeight="1">
      <c r="A7" s="75" t="s">
        <v>508</v>
      </c>
      <c r="B7" s="76" t="s">
        <v>332</v>
      </c>
      <c r="C7" s="76" t="s">
        <v>332</v>
      </c>
      <c r="D7" s="76" t="s">
        <v>332</v>
      </c>
      <c r="E7" s="76" t="s">
        <v>332</v>
      </c>
      <c r="F7" s="76" t="s">
        <v>332</v>
      </c>
      <c r="G7" s="76" t="s">
        <v>332</v>
      </c>
      <c r="H7" s="76" t="s">
        <v>332</v>
      </c>
      <c r="I7" s="76" t="s">
        <v>332</v>
      </c>
      <c r="J7" s="76" t="s">
        <v>332</v>
      </c>
      <c r="K7" s="76"/>
      <c r="L7" s="76"/>
      <c r="M7" s="76"/>
      <c r="N7" s="76"/>
      <c r="O7" s="76"/>
      <c r="P7" s="77"/>
      <c r="Q7" s="79"/>
      <c r="R7" s="79"/>
      <c r="S7" s="79"/>
      <c r="T7" s="79"/>
      <c r="U7" s="79"/>
    </row>
    <row r="8" spans="1:21" ht="14.5" customHeight="1">
      <c r="A8" s="57" t="s">
        <v>509</v>
      </c>
      <c r="B8" s="59" t="s">
        <v>27</v>
      </c>
      <c r="C8" s="60" t="s">
        <v>33</v>
      </c>
      <c r="D8" s="60" t="s">
        <v>33</v>
      </c>
      <c r="E8" s="60" t="s">
        <v>33</v>
      </c>
      <c r="F8" s="60" t="s">
        <v>33</v>
      </c>
      <c r="G8" s="59" t="s">
        <v>27</v>
      </c>
      <c r="H8" s="60" t="s">
        <v>33</v>
      </c>
      <c r="I8" s="59" t="s">
        <v>27</v>
      </c>
      <c r="J8" s="59" t="s">
        <v>27</v>
      </c>
      <c r="K8" s="59" t="s">
        <v>27</v>
      </c>
      <c r="L8" s="60" t="s">
        <v>33</v>
      </c>
      <c r="M8" s="60"/>
      <c r="N8" s="59" t="s">
        <v>27</v>
      </c>
      <c r="O8" s="59">
        <f t="shared" si="0"/>
        <v>6</v>
      </c>
      <c r="P8" s="53">
        <f>O8/13</f>
        <v>0.46153846153846156</v>
      </c>
      <c r="Q8" s="64" t="s">
        <v>34</v>
      </c>
      <c r="R8" s="64" t="s">
        <v>164</v>
      </c>
      <c r="S8" s="64" t="s">
        <v>510</v>
      </c>
      <c r="T8" s="64" t="s">
        <v>291</v>
      </c>
      <c r="U8" s="64" t="s">
        <v>38</v>
      </c>
    </row>
    <row r="9" spans="1:21" ht="14.5" customHeight="1">
      <c r="A9" s="57" t="s">
        <v>511</v>
      </c>
      <c r="B9" s="60" t="s">
        <v>33</v>
      </c>
      <c r="C9" s="60" t="s">
        <v>33</v>
      </c>
      <c r="D9" s="60" t="s">
        <v>33</v>
      </c>
      <c r="E9" s="60" t="s">
        <v>33</v>
      </c>
      <c r="F9" s="60" t="s">
        <v>33</v>
      </c>
      <c r="G9" s="60" t="s">
        <v>33</v>
      </c>
      <c r="H9" s="60" t="s">
        <v>33</v>
      </c>
      <c r="I9" s="60" t="s">
        <v>33</v>
      </c>
      <c r="J9" s="60" t="s">
        <v>33</v>
      </c>
      <c r="K9" s="59" t="s">
        <v>27</v>
      </c>
      <c r="L9" s="60" t="s">
        <v>33</v>
      </c>
      <c r="M9" s="60"/>
      <c r="N9" s="60" t="s">
        <v>33</v>
      </c>
      <c r="O9" s="59">
        <f t="shared" si="0"/>
        <v>1</v>
      </c>
      <c r="P9" s="53">
        <f t="shared" ref="P9:P10" si="2">O9/13</f>
        <v>7.6923076923076927E-2</v>
      </c>
      <c r="Q9" s="64" t="s">
        <v>34</v>
      </c>
      <c r="R9" s="64" t="s">
        <v>164</v>
      </c>
      <c r="S9" s="64" t="s">
        <v>510</v>
      </c>
      <c r="T9" s="64" t="s">
        <v>278</v>
      </c>
      <c r="U9" s="64" t="s">
        <v>145</v>
      </c>
    </row>
    <row r="10" spans="1:21" ht="14.5" customHeight="1">
      <c r="A10" s="57" t="s">
        <v>512</v>
      </c>
      <c r="B10" s="60" t="s">
        <v>33</v>
      </c>
      <c r="C10" s="60" t="s">
        <v>33</v>
      </c>
      <c r="D10" s="60" t="s">
        <v>33</v>
      </c>
      <c r="E10" s="60" t="s">
        <v>33</v>
      </c>
      <c r="F10" s="60" t="s">
        <v>33</v>
      </c>
      <c r="G10" s="60" t="s">
        <v>33</v>
      </c>
      <c r="H10" s="60" t="s">
        <v>33</v>
      </c>
      <c r="I10" s="59" t="s">
        <v>27</v>
      </c>
      <c r="J10" s="60" t="s">
        <v>33</v>
      </c>
      <c r="K10" s="60" t="s">
        <v>33</v>
      </c>
      <c r="L10" s="60" t="s">
        <v>33</v>
      </c>
      <c r="M10" s="60"/>
      <c r="N10" s="60" t="s">
        <v>33</v>
      </c>
      <c r="O10" s="59">
        <f t="shared" si="0"/>
        <v>1</v>
      </c>
      <c r="P10" s="53">
        <f t="shared" si="2"/>
        <v>7.6923076923076927E-2</v>
      </c>
      <c r="Q10" s="58" t="s">
        <v>34</v>
      </c>
      <c r="R10" s="58" t="s">
        <v>29</v>
      </c>
      <c r="S10" s="58" t="s">
        <v>249</v>
      </c>
      <c r="T10" s="58" t="s">
        <v>124</v>
      </c>
      <c r="U10" s="58" t="s">
        <v>250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498B-C938-4E18-AE8D-20B81DB80F5D}">
  <dimension ref="A1:U8"/>
  <sheetViews>
    <sheetView zoomScale="55" zoomScaleNormal="55" workbookViewId="0">
      <pane xSplit="1" topLeftCell="Q1" activePane="topRight" state="frozen"/>
      <selection pane="topRight" activeCell="E26" sqref="E26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63" t="s">
        <v>513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514</v>
      </c>
      <c r="B2" s="91" t="s">
        <v>332</v>
      </c>
      <c r="C2" s="91" t="s">
        <v>332</v>
      </c>
      <c r="D2" s="91" t="s">
        <v>332</v>
      </c>
      <c r="E2" s="91" t="s">
        <v>332</v>
      </c>
      <c r="F2" s="91" t="s">
        <v>332</v>
      </c>
      <c r="G2" s="91" t="s">
        <v>332</v>
      </c>
      <c r="H2" s="91" t="s">
        <v>332</v>
      </c>
      <c r="I2" s="91" t="s">
        <v>332</v>
      </c>
      <c r="J2" s="91" t="s">
        <v>332</v>
      </c>
      <c r="K2" s="91" t="s">
        <v>332</v>
      </c>
      <c r="L2" s="91" t="s">
        <v>332</v>
      </c>
      <c r="M2" s="91"/>
      <c r="N2" s="91" t="s">
        <v>332</v>
      </c>
      <c r="O2" s="78"/>
      <c r="P2" s="78"/>
      <c r="Q2" s="78"/>
      <c r="R2" s="78"/>
      <c r="S2" s="78"/>
      <c r="T2" s="78"/>
      <c r="U2" s="78"/>
    </row>
    <row r="3" spans="1:21" ht="14.5" customHeight="1">
      <c r="A3" s="57" t="s">
        <v>515</v>
      </c>
      <c r="B3" s="60" t="s">
        <v>33</v>
      </c>
      <c r="C3" s="60" t="s">
        <v>33</v>
      </c>
      <c r="D3" s="65" t="s">
        <v>27</v>
      </c>
      <c r="E3" s="60" t="s">
        <v>33</v>
      </c>
      <c r="F3" s="60" t="s">
        <v>33</v>
      </c>
      <c r="G3" s="65" t="s">
        <v>27</v>
      </c>
      <c r="H3" s="60" t="s">
        <v>33</v>
      </c>
      <c r="I3" s="60" t="s">
        <v>33</v>
      </c>
      <c r="J3" s="60" t="s">
        <v>33</v>
      </c>
      <c r="K3" s="60" t="s">
        <v>33</v>
      </c>
      <c r="L3" s="60" t="s">
        <v>33</v>
      </c>
      <c r="M3" s="60" t="s">
        <v>33</v>
      </c>
      <c r="N3" s="60" t="s">
        <v>33</v>
      </c>
      <c r="O3" s="59">
        <f>COUNTIF(B3:N3,"✔")</f>
        <v>2</v>
      </c>
      <c r="P3" s="53">
        <f>O3/13</f>
        <v>0.15384615384615385</v>
      </c>
      <c r="Q3" s="64" t="s">
        <v>34</v>
      </c>
      <c r="R3" s="64" t="s">
        <v>29</v>
      </c>
      <c r="S3" s="64" t="s">
        <v>694</v>
      </c>
      <c r="T3" s="64" t="s">
        <v>300</v>
      </c>
      <c r="U3" s="64" t="s">
        <v>301</v>
      </c>
    </row>
    <row r="4" spans="1:21" ht="14.5" customHeight="1">
      <c r="A4" s="57" t="s">
        <v>516</v>
      </c>
      <c r="B4" s="60" t="s">
        <v>33</v>
      </c>
      <c r="C4" s="60" t="s">
        <v>33</v>
      </c>
      <c r="D4" s="60" t="s">
        <v>33</v>
      </c>
      <c r="E4" s="60" t="s">
        <v>33</v>
      </c>
      <c r="F4" s="60" t="s">
        <v>33</v>
      </c>
      <c r="G4" s="65" t="s">
        <v>27</v>
      </c>
      <c r="H4" s="60" t="s">
        <v>33</v>
      </c>
      <c r="I4" s="65" t="s">
        <v>27</v>
      </c>
      <c r="J4" s="60" t="s">
        <v>33</v>
      </c>
      <c r="K4" s="60" t="s">
        <v>33</v>
      </c>
      <c r="L4" s="60" t="s">
        <v>33</v>
      </c>
      <c r="M4" s="60" t="s">
        <v>33</v>
      </c>
      <c r="N4" s="60" t="s">
        <v>33</v>
      </c>
      <c r="O4" s="59">
        <f t="shared" ref="O4:O8" si="0">COUNTIF(B4:N4,"✔")</f>
        <v>2</v>
      </c>
      <c r="P4" s="53">
        <f>O4/13</f>
        <v>0.15384615384615385</v>
      </c>
      <c r="Q4" s="58" t="s">
        <v>34</v>
      </c>
      <c r="R4" s="58" t="s">
        <v>29</v>
      </c>
      <c r="S4" s="58" t="s">
        <v>50</v>
      </c>
      <c r="T4" s="58" t="s">
        <v>231</v>
      </c>
      <c r="U4" s="58" t="s">
        <v>289</v>
      </c>
    </row>
    <row r="5" spans="1:21" s="73" customFormat="1" ht="14.5" customHeight="1">
      <c r="A5" s="75" t="s">
        <v>517</v>
      </c>
      <c r="B5" s="92" t="s">
        <v>332</v>
      </c>
      <c r="C5" s="92" t="s">
        <v>332</v>
      </c>
      <c r="D5" s="92" t="s">
        <v>332</v>
      </c>
      <c r="E5" s="92" t="s">
        <v>332</v>
      </c>
      <c r="F5" s="92" t="s">
        <v>332</v>
      </c>
      <c r="G5" s="92" t="s">
        <v>332</v>
      </c>
      <c r="H5" s="92" t="s">
        <v>332</v>
      </c>
      <c r="I5" s="92" t="s">
        <v>332</v>
      </c>
      <c r="J5" s="92" t="s">
        <v>332</v>
      </c>
      <c r="K5" s="92" t="s">
        <v>332</v>
      </c>
      <c r="L5" s="92" t="s">
        <v>332</v>
      </c>
      <c r="M5" s="92" t="s">
        <v>332</v>
      </c>
      <c r="N5" s="92"/>
      <c r="O5" s="76"/>
      <c r="P5" s="77"/>
      <c r="Q5" s="78"/>
      <c r="R5" s="78"/>
      <c r="S5" s="78"/>
      <c r="T5" s="78"/>
      <c r="U5" s="78"/>
    </row>
    <row r="6" spans="1:21" ht="14.5" customHeight="1">
      <c r="A6" s="57" t="s">
        <v>518</v>
      </c>
      <c r="B6" s="60" t="s">
        <v>33</v>
      </c>
      <c r="C6" s="60" t="s">
        <v>33</v>
      </c>
      <c r="D6" s="60" t="s">
        <v>33</v>
      </c>
      <c r="E6" s="65" t="s">
        <v>27</v>
      </c>
      <c r="F6" s="60" t="s">
        <v>33</v>
      </c>
      <c r="G6" s="60" t="s">
        <v>33</v>
      </c>
      <c r="H6" s="60" t="s">
        <v>33</v>
      </c>
      <c r="I6" s="60" t="s">
        <v>33</v>
      </c>
      <c r="J6" s="60" t="s">
        <v>33</v>
      </c>
      <c r="K6" s="60" t="s">
        <v>33</v>
      </c>
      <c r="L6" s="60" t="s">
        <v>33</v>
      </c>
      <c r="M6" s="60" t="s">
        <v>33</v>
      </c>
      <c r="N6" s="60" t="s">
        <v>33</v>
      </c>
      <c r="O6" s="59">
        <f t="shared" si="0"/>
        <v>1</v>
      </c>
      <c r="P6" s="53">
        <f>O6/13</f>
        <v>7.6923076923076927E-2</v>
      </c>
      <c r="Q6" s="64" t="s">
        <v>34</v>
      </c>
      <c r="R6" s="64" t="s">
        <v>29</v>
      </c>
      <c r="S6" s="64" t="s">
        <v>694</v>
      </c>
      <c r="T6" s="64" t="s">
        <v>300</v>
      </c>
      <c r="U6" s="64" t="s">
        <v>301</v>
      </c>
    </row>
    <row r="7" spans="1:21" ht="14.5" customHeight="1">
      <c r="A7" s="57" t="s">
        <v>519</v>
      </c>
      <c r="B7" s="60" t="s">
        <v>33</v>
      </c>
      <c r="C7" s="60" t="s">
        <v>33</v>
      </c>
      <c r="D7" s="60" t="s">
        <v>33</v>
      </c>
      <c r="E7" s="60" t="s">
        <v>33</v>
      </c>
      <c r="F7" s="65" t="s">
        <v>27</v>
      </c>
      <c r="G7" s="60" t="s">
        <v>33</v>
      </c>
      <c r="H7" s="60" t="s">
        <v>33</v>
      </c>
      <c r="I7" s="65" t="s">
        <v>27</v>
      </c>
      <c r="J7" s="60" t="s">
        <v>33</v>
      </c>
      <c r="K7" s="60" t="s">
        <v>33</v>
      </c>
      <c r="L7" s="60" t="s">
        <v>33</v>
      </c>
      <c r="M7" s="60" t="s">
        <v>33</v>
      </c>
      <c r="N7" s="60" t="s">
        <v>33</v>
      </c>
      <c r="O7" s="59">
        <f t="shared" si="0"/>
        <v>2</v>
      </c>
      <c r="P7" s="53">
        <f t="shared" ref="P7:P8" si="1">O7/13</f>
        <v>0.15384615384615385</v>
      </c>
      <c r="Q7" s="64" t="s">
        <v>34</v>
      </c>
      <c r="R7" s="64" t="s">
        <v>29</v>
      </c>
      <c r="S7" s="64" t="s">
        <v>694</v>
      </c>
      <c r="T7" s="64" t="s">
        <v>300</v>
      </c>
      <c r="U7" s="64" t="s">
        <v>301</v>
      </c>
    </row>
    <row r="8" spans="1:21" ht="14.5" customHeight="1">
      <c r="A8" s="57" t="s">
        <v>520</v>
      </c>
      <c r="B8" s="66" t="s">
        <v>33</v>
      </c>
      <c r="C8" s="60" t="s">
        <v>33</v>
      </c>
      <c r="D8" s="60" t="s">
        <v>33</v>
      </c>
      <c r="E8" s="60" t="s">
        <v>33</v>
      </c>
      <c r="F8" s="65" t="s">
        <v>27</v>
      </c>
      <c r="G8" s="60" t="s">
        <v>33</v>
      </c>
      <c r="H8" s="60" t="s">
        <v>33</v>
      </c>
      <c r="I8" s="65" t="s">
        <v>27</v>
      </c>
      <c r="J8" s="60" t="s">
        <v>33</v>
      </c>
      <c r="K8" s="60" t="s">
        <v>33</v>
      </c>
      <c r="L8" s="60" t="s">
        <v>33</v>
      </c>
      <c r="M8" s="60" t="s">
        <v>33</v>
      </c>
      <c r="N8" s="60" t="s">
        <v>33</v>
      </c>
      <c r="O8" s="59">
        <f t="shared" si="0"/>
        <v>2</v>
      </c>
      <c r="P8" s="53">
        <f t="shared" si="1"/>
        <v>0.15384615384615385</v>
      </c>
      <c r="Q8" s="64" t="s">
        <v>34</v>
      </c>
      <c r="R8" s="64" t="s">
        <v>29</v>
      </c>
      <c r="S8" s="64" t="s">
        <v>694</v>
      </c>
      <c r="T8" s="64" t="s">
        <v>300</v>
      </c>
      <c r="U8" s="64" t="s">
        <v>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718D-01D8-4157-85DF-A7E0899A49FB}">
  <dimension ref="A1:W5"/>
  <sheetViews>
    <sheetView zoomScale="59" zoomScaleNormal="85" workbookViewId="0">
      <pane xSplit="1" topLeftCell="P1" activePane="topRight" state="frozen"/>
      <selection pane="topRight" activeCell="R31" sqref="A1:XFD1048576"/>
    </sheetView>
  </sheetViews>
  <sheetFormatPr defaultRowHeight="15" customHeight="1"/>
  <cols>
    <col min="1" max="1" width="50.69140625" customWidth="1"/>
    <col min="2" max="16" width="13.69140625" customWidth="1"/>
    <col min="17" max="23" width="20.69140625" customWidth="1"/>
  </cols>
  <sheetData>
    <row r="1" spans="1:23" ht="75" customHeight="1">
      <c r="A1" s="63" t="s">
        <v>521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  <c r="V1" s="57"/>
      <c r="W1" s="57"/>
    </row>
    <row r="2" spans="1:23" s="73" customFormat="1" ht="14.5" customHeight="1">
      <c r="A2" s="75" t="s">
        <v>522</v>
      </c>
      <c r="B2" s="78" t="s">
        <v>332</v>
      </c>
      <c r="C2" s="78" t="s">
        <v>332</v>
      </c>
      <c r="D2" s="78" t="s">
        <v>332</v>
      </c>
      <c r="E2" s="78" t="s">
        <v>332</v>
      </c>
      <c r="F2" s="78" t="s">
        <v>332</v>
      </c>
      <c r="G2" s="78" t="s">
        <v>332</v>
      </c>
      <c r="H2" s="78" t="s">
        <v>332</v>
      </c>
      <c r="I2" s="78" t="s">
        <v>332</v>
      </c>
      <c r="J2" s="78" t="s">
        <v>332</v>
      </c>
      <c r="K2" s="78" t="s">
        <v>332</v>
      </c>
      <c r="L2" s="78" t="s">
        <v>332</v>
      </c>
      <c r="M2" s="78"/>
      <c r="N2" s="78" t="s">
        <v>332</v>
      </c>
      <c r="O2" s="78"/>
      <c r="P2" s="78"/>
      <c r="Q2" s="78"/>
      <c r="R2" s="78"/>
      <c r="S2" s="78"/>
      <c r="T2" s="78"/>
      <c r="U2" s="78"/>
      <c r="V2" s="71"/>
      <c r="W2" s="71"/>
    </row>
    <row r="3" spans="1:23" ht="14.5" customHeight="1">
      <c r="A3" s="57" t="s">
        <v>523</v>
      </c>
      <c r="B3" s="60" t="s">
        <v>33</v>
      </c>
      <c r="C3" s="59" t="s">
        <v>27</v>
      </c>
      <c r="D3" s="60" t="s">
        <v>33</v>
      </c>
      <c r="E3" s="59" t="s">
        <v>27</v>
      </c>
      <c r="F3" s="60" t="s">
        <v>33</v>
      </c>
      <c r="G3" s="60" t="s">
        <v>33</v>
      </c>
      <c r="H3" s="60" t="s">
        <v>33</v>
      </c>
      <c r="I3" s="60" t="s">
        <v>33</v>
      </c>
      <c r="J3" s="60" t="s">
        <v>33</v>
      </c>
      <c r="K3" s="60" t="s">
        <v>33</v>
      </c>
      <c r="L3" s="60" t="s">
        <v>33</v>
      </c>
      <c r="M3" s="60" t="s">
        <v>33</v>
      </c>
      <c r="N3" s="60" t="s">
        <v>33</v>
      </c>
      <c r="O3" s="59">
        <f>COUNTIF(B3:N3,"✔")</f>
        <v>2</v>
      </c>
      <c r="P3" s="53">
        <f>O3/13</f>
        <v>0.15384615384615385</v>
      </c>
      <c r="Q3" s="64" t="s">
        <v>34</v>
      </c>
      <c r="R3" s="64" t="s">
        <v>29</v>
      </c>
      <c r="S3" s="64" t="s">
        <v>694</v>
      </c>
      <c r="T3" s="64" t="s">
        <v>300</v>
      </c>
      <c r="U3" s="64" t="s">
        <v>301</v>
      </c>
      <c r="V3" s="57"/>
      <c r="W3" s="58"/>
    </row>
    <row r="4" spans="1:23" ht="14.5" customHeight="1">
      <c r="A4" s="57" t="s">
        <v>524</v>
      </c>
      <c r="B4" s="60" t="s">
        <v>33</v>
      </c>
      <c r="C4" s="60" t="s">
        <v>33</v>
      </c>
      <c r="D4" s="60" t="s">
        <v>33</v>
      </c>
      <c r="E4" s="60" t="s">
        <v>33</v>
      </c>
      <c r="F4" s="59" t="s">
        <v>27</v>
      </c>
      <c r="G4" s="60" t="s">
        <v>33</v>
      </c>
      <c r="H4" s="60" t="s">
        <v>33</v>
      </c>
      <c r="I4" s="60" t="s">
        <v>33</v>
      </c>
      <c r="J4" s="60" t="s">
        <v>33</v>
      </c>
      <c r="K4" s="60" t="s">
        <v>33</v>
      </c>
      <c r="L4" s="60" t="s">
        <v>33</v>
      </c>
      <c r="M4" s="60" t="s">
        <v>33</v>
      </c>
      <c r="N4" s="60" t="s">
        <v>33</v>
      </c>
      <c r="O4" s="59">
        <f>COUNTIF(B4:N4,"✔")</f>
        <v>1</v>
      </c>
      <c r="P4" s="53">
        <f>O4/13</f>
        <v>7.6923076923076927E-2</v>
      </c>
      <c r="Q4" s="64" t="s">
        <v>34</v>
      </c>
      <c r="R4" s="64" t="s">
        <v>29</v>
      </c>
      <c r="S4" s="64" t="s">
        <v>307</v>
      </c>
      <c r="T4" s="64" t="s">
        <v>124</v>
      </c>
      <c r="U4" s="64" t="s">
        <v>308</v>
      </c>
      <c r="V4" s="57"/>
      <c r="W4" s="58"/>
    </row>
    <row r="5" spans="1:23" ht="14.5" customHeight="1">
      <c r="A5" s="57"/>
      <c r="B5" s="60"/>
      <c r="C5" s="60"/>
      <c r="D5" s="60"/>
      <c r="E5" s="60"/>
      <c r="F5" s="59"/>
      <c r="G5" s="60"/>
      <c r="H5" s="60"/>
      <c r="I5" s="60"/>
      <c r="J5" s="60"/>
      <c r="K5" s="60"/>
      <c r="L5" s="60"/>
      <c r="M5" s="60"/>
      <c r="N5" s="60"/>
      <c r="O5" s="59"/>
      <c r="P5" s="53"/>
      <c r="Q5" s="64" t="s">
        <v>34</v>
      </c>
      <c r="R5" s="64" t="s">
        <v>29</v>
      </c>
      <c r="S5" s="64" t="s">
        <v>307</v>
      </c>
      <c r="T5" s="64" t="s">
        <v>693</v>
      </c>
      <c r="U5" s="64" t="s">
        <v>145</v>
      </c>
      <c r="V5" s="57"/>
      <c r="W5" s="5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46ED-8E67-40E8-8E47-F60061F22B7B}">
  <dimension ref="A1:W9"/>
  <sheetViews>
    <sheetView zoomScale="85" zoomScaleNormal="85" workbookViewId="0">
      <pane xSplit="1" topLeftCell="S1" activePane="topRight" state="frozen"/>
      <selection pane="topRight" activeCell="R19" sqref="R19"/>
    </sheetView>
  </sheetViews>
  <sheetFormatPr defaultRowHeight="15" customHeight="1"/>
  <cols>
    <col min="1" max="1" width="50.69140625" customWidth="1"/>
    <col min="2" max="16" width="13.69140625" customWidth="1"/>
    <col min="17" max="20" width="20.69140625" customWidth="1"/>
    <col min="21" max="21" width="20.69140625" style="93" customWidth="1"/>
    <col min="22" max="23" width="20.69140625" customWidth="1"/>
  </cols>
  <sheetData>
    <row r="1" spans="1:23" ht="75" customHeight="1">
      <c r="A1" s="63" t="s">
        <v>525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503</v>
      </c>
      <c r="S1" s="55" t="s">
        <v>23</v>
      </c>
      <c r="T1" s="55" t="s">
        <v>24</v>
      </c>
      <c r="U1" s="55" t="s">
        <v>25</v>
      </c>
      <c r="V1" s="57"/>
      <c r="W1" s="57"/>
    </row>
    <row r="2" spans="1:23" s="73" customFormat="1" ht="14.5" customHeight="1">
      <c r="A2" s="75" t="s">
        <v>526</v>
      </c>
      <c r="B2" s="76" t="s">
        <v>332</v>
      </c>
      <c r="C2" s="76" t="s">
        <v>332</v>
      </c>
      <c r="D2" s="76" t="s">
        <v>332</v>
      </c>
      <c r="E2" s="76" t="s">
        <v>332</v>
      </c>
      <c r="F2" s="76" t="s">
        <v>332</v>
      </c>
      <c r="G2" s="76" t="s">
        <v>332</v>
      </c>
      <c r="H2" s="76" t="s">
        <v>332</v>
      </c>
      <c r="I2" s="76" t="s">
        <v>332</v>
      </c>
      <c r="J2" s="76" t="s">
        <v>332</v>
      </c>
      <c r="K2" s="76" t="s">
        <v>332</v>
      </c>
      <c r="L2" s="76" t="s">
        <v>332</v>
      </c>
      <c r="M2" s="76"/>
      <c r="N2" s="76" t="s">
        <v>332</v>
      </c>
      <c r="O2" s="76"/>
      <c r="P2" s="76"/>
      <c r="Q2" s="79"/>
      <c r="R2" s="79"/>
      <c r="S2" s="79"/>
      <c r="T2" s="79"/>
      <c r="U2" s="79"/>
      <c r="V2" s="71"/>
      <c r="W2" s="71"/>
    </row>
    <row r="3" spans="1:23" ht="14.5" customHeight="1">
      <c r="A3" s="57" t="s">
        <v>527</v>
      </c>
      <c r="B3" s="59" t="s">
        <v>27</v>
      </c>
      <c r="C3" s="59" t="s">
        <v>27</v>
      </c>
      <c r="D3" s="60" t="s">
        <v>33</v>
      </c>
      <c r="E3" s="60" t="s">
        <v>33</v>
      </c>
      <c r="F3" s="60" t="s">
        <v>33</v>
      </c>
      <c r="G3" s="60" t="s">
        <v>33</v>
      </c>
      <c r="H3" s="60" t="s">
        <v>33</v>
      </c>
      <c r="I3" s="59" t="s">
        <v>27</v>
      </c>
      <c r="J3" s="60" t="s">
        <v>33</v>
      </c>
      <c r="K3" s="59" t="s">
        <v>27</v>
      </c>
      <c r="L3" s="60" t="s">
        <v>33</v>
      </c>
      <c r="M3" s="60" t="s">
        <v>33</v>
      </c>
      <c r="N3" s="60" t="s">
        <v>33</v>
      </c>
      <c r="O3" s="59">
        <f>COUNTIF(B3:N3,"✔")</f>
        <v>4</v>
      </c>
      <c r="P3" s="53">
        <f>O3/13</f>
        <v>0.30769230769230771</v>
      </c>
      <c r="Q3" s="64" t="s">
        <v>34</v>
      </c>
      <c r="R3" s="64" t="s">
        <v>29</v>
      </c>
      <c r="S3" s="64" t="s">
        <v>45</v>
      </c>
      <c r="T3" s="64" t="s">
        <v>317</v>
      </c>
      <c r="U3" s="58" t="s">
        <v>404</v>
      </c>
      <c r="V3" s="57"/>
      <c r="W3" s="58"/>
    </row>
    <row r="4" spans="1:23" ht="14.5" customHeight="1">
      <c r="A4" s="57" t="s">
        <v>528</v>
      </c>
      <c r="B4" s="60" t="s">
        <v>33</v>
      </c>
      <c r="C4" s="59" t="s">
        <v>27</v>
      </c>
      <c r="D4" s="60" t="s">
        <v>33</v>
      </c>
      <c r="E4" s="60" t="s">
        <v>33</v>
      </c>
      <c r="F4" s="60" t="s">
        <v>33</v>
      </c>
      <c r="G4" s="60" t="s">
        <v>33</v>
      </c>
      <c r="H4" s="60" t="s">
        <v>33</v>
      </c>
      <c r="I4" s="60" t="s">
        <v>33</v>
      </c>
      <c r="J4" s="60" t="s">
        <v>33</v>
      </c>
      <c r="K4" s="60" t="s">
        <v>33</v>
      </c>
      <c r="L4" s="60" t="s">
        <v>33</v>
      </c>
      <c r="M4" s="60" t="s">
        <v>33</v>
      </c>
      <c r="N4" s="60" t="s">
        <v>33</v>
      </c>
      <c r="O4" s="59">
        <f t="shared" ref="O4:O9" si="0">COUNTIF(B4:N4,"✔")</f>
        <v>1</v>
      </c>
      <c r="P4" s="53">
        <f t="shared" ref="P4:P6" si="1">O4/13</f>
        <v>7.6923076923076927E-2</v>
      </c>
      <c r="Q4" s="64" t="s">
        <v>34</v>
      </c>
      <c r="R4" s="64" t="s">
        <v>29</v>
      </c>
      <c r="S4" s="64" t="s">
        <v>45</v>
      </c>
      <c r="T4" s="64" t="s">
        <v>317</v>
      </c>
      <c r="U4" s="58" t="s">
        <v>404</v>
      </c>
      <c r="V4" s="57"/>
      <c r="W4" s="58"/>
    </row>
    <row r="5" spans="1:23" ht="14.5" customHeight="1">
      <c r="A5" s="57" t="s">
        <v>529</v>
      </c>
      <c r="B5" s="59" t="s">
        <v>27</v>
      </c>
      <c r="C5" s="59" t="s">
        <v>27</v>
      </c>
      <c r="D5" s="59" t="s">
        <v>27</v>
      </c>
      <c r="E5" s="59" t="s">
        <v>27</v>
      </c>
      <c r="F5" s="59" t="s">
        <v>27</v>
      </c>
      <c r="G5" s="59" t="s">
        <v>27</v>
      </c>
      <c r="H5" s="59" t="s">
        <v>27</v>
      </c>
      <c r="I5" s="59" t="s">
        <v>27</v>
      </c>
      <c r="J5" s="59" t="s">
        <v>27</v>
      </c>
      <c r="K5" s="59" t="s">
        <v>27</v>
      </c>
      <c r="L5" s="59" t="s">
        <v>27</v>
      </c>
      <c r="M5" s="59" t="s">
        <v>27</v>
      </c>
      <c r="N5" s="59" t="s">
        <v>27</v>
      </c>
      <c r="O5" s="59">
        <f t="shared" si="0"/>
        <v>13</v>
      </c>
      <c r="P5" s="53">
        <f t="shared" si="1"/>
        <v>1</v>
      </c>
      <c r="Q5" s="64" t="s">
        <v>34</v>
      </c>
      <c r="R5" s="64" t="s">
        <v>29</v>
      </c>
      <c r="S5" s="64" t="s">
        <v>45</v>
      </c>
      <c r="T5" s="64" t="s">
        <v>317</v>
      </c>
      <c r="U5" s="58" t="s">
        <v>404</v>
      </c>
      <c r="V5" s="57"/>
      <c r="W5" s="58"/>
    </row>
    <row r="6" spans="1:23" ht="14.5" customHeight="1">
      <c r="A6" s="57" t="s">
        <v>530</v>
      </c>
      <c r="B6" s="60" t="s">
        <v>33</v>
      </c>
      <c r="C6" s="60" t="s">
        <v>33</v>
      </c>
      <c r="D6" s="59" t="s">
        <v>27</v>
      </c>
      <c r="E6" s="60" t="s">
        <v>33</v>
      </c>
      <c r="F6" s="60" t="s">
        <v>33</v>
      </c>
      <c r="G6" s="60" t="s">
        <v>33</v>
      </c>
      <c r="H6" s="60" t="s">
        <v>33</v>
      </c>
      <c r="I6" s="59" t="s">
        <v>27</v>
      </c>
      <c r="J6" s="60" t="s">
        <v>33</v>
      </c>
      <c r="K6" s="60" t="s">
        <v>33</v>
      </c>
      <c r="L6" s="60" t="s">
        <v>33</v>
      </c>
      <c r="M6" s="59" t="s">
        <v>27</v>
      </c>
      <c r="N6" s="60" t="s">
        <v>33</v>
      </c>
      <c r="O6" s="59">
        <f t="shared" si="0"/>
        <v>3</v>
      </c>
      <c r="P6" s="53">
        <f t="shared" si="1"/>
        <v>0.23076923076923078</v>
      </c>
      <c r="Q6" s="64" t="s">
        <v>34</v>
      </c>
      <c r="R6" s="64" t="s">
        <v>313</v>
      </c>
      <c r="S6" s="64" t="s">
        <v>314</v>
      </c>
      <c r="T6" s="64" t="s">
        <v>589</v>
      </c>
      <c r="U6" s="58" t="s">
        <v>531</v>
      </c>
      <c r="V6" s="57"/>
      <c r="W6" s="58"/>
    </row>
    <row r="7" spans="1:23" s="73" customFormat="1" ht="14.5" customHeight="1">
      <c r="A7" s="75" t="s">
        <v>532</v>
      </c>
      <c r="B7" s="76" t="s">
        <v>332</v>
      </c>
      <c r="C7" s="76" t="s">
        <v>332</v>
      </c>
      <c r="D7" s="76" t="s">
        <v>332</v>
      </c>
      <c r="E7" s="76" t="s">
        <v>332</v>
      </c>
      <c r="F7" s="76" t="s">
        <v>332</v>
      </c>
      <c r="G7" s="76" t="s">
        <v>332</v>
      </c>
      <c r="H7" s="76" t="s">
        <v>332</v>
      </c>
      <c r="I7" s="76" t="s">
        <v>332</v>
      </c>
      <c r="J7" s="76" t="s">
        <v>332</v>
      </c>
      <c r="K7" s="76" t="s">
        <v>332</v>
      </c>
      <c r="L7" s="76" t="s">
        <v>332</v>
      </c>
      <c r="M7" s="76"/>
      <c r="N7" s="76" t="s">
        <v>332</v>
      </c>
      <c r="O7" s="76"/>
      <c r="P7" s="77"/>
      <c r="Q7" s="79"/>
      <c r="R7" s="79"/>
      <c r="S7" s="79"/>
      <c r="T7" s="79"/>
      <c r="U7" s="79"/>
      <c r="V7" s="71"/>
      <c r="W7" s="71"/>
    </row>
    <row r="8" spans="1:23" ht="14.5" customHeight="1">
      <c r="A8" s="57" t="s">
        <v>533</v>
      </c>
      <c r="B8" s="60" t="s">
        <v>33</v>
      </c>
      <c r="C8" s="59" t="s">
        <v>27</v>
      </c>
      <c r="D8" s="60" t="s">
        <v>33</v>
      </c>
      <c r="E8" s="60" t="s">
        <v>33</v>
      </c>
      <c r="F8" s="60" t="s">
        <v>33</v>
      </c>
      <c r="G8" s="60" t="s">
        <v>33</v>
      </c>
      <c r="H8" s="60" t="s">
        <v>33</v>
      </c>
      <c r="I8" s="59" t="s">
        <v>27</v>
      </c>
      <c r="J8" s="60" t="s">
        <v>33</v>
      </c>
      <c r="K8" s="60" t="s">
        <v>33</v>
      </c>
      <c r="L8" s="60" t="s">
        <v>33</v>
      </c>
      <c r="M8" s="60" t="s">
        <v>33</v>
      </c>
      <c r="N8" s="60" t="s">
        <v>33</v>
      </c>
      <c r="O8" s="59">
        <f t="shared" si="0"/>
        <v>2</v>
      </c>
      <c r="P8" s="53">
        <f>O8/13</f>
        <v>0.15384615384615385</v>
      </c>
      <c r="Q8" s="64" t="s">
        <v>34</v>
      </c>
      <c r="R8" s="64" t="s">
        <v>29</v>
      </c>
      <c r="S8" s="64" t="s">
        <v>50</v>
      </c>
      <c r="T8" s="64" t="s">
        <v>231</v>
      </c>
      <c r="U8" s="58" t="s">
        <v>289</v>
      </c>
      <c r="V8" s="57"/>
      <c r="W8" s="58"/>
    </row>
    <row r="9" spans="1:23" ht="14.5" customHeight="1">
      <c r="A9" s="57" t="s">
        <v>534</v>
      </c>
      <c r="B9" s="59" t="s">
        <v>27</v>
      </c>
      <c r="C9" s="60" t="s">
        <v>33</v>
      </c>
      <c r="D9" s="60" t="s">
        <v>33</v>
      </c>
      <c r="E9" s="60" t="s">
        <v>33</v>
      </c>
      <c r="F9" s="60" t="s">
        <v>33</v>
      </c>
      <c r="G9" s="60" t="s">
        <v>33</v>
      </c>
      <c r="H9" s="60" t="s">
        <v>33</v>
      </c>
      <c r="I9" s="60" t="s">
        <v>33</v>
      </c>
      <c r="J9" s="60" t="s">
        <v>33</v>
      </c>
      <c r="K9" s="59" t="s">
        <v>27</v>
      </c>
      <c r="L9" s="60" t="s">
        <v>33</v>
      </c>
      <c r="M9" s="59" t="s">
        <v>27</v>
      </c>
      <c r="N9" s="60" t="s">
        <v>33</v>
      </c>
      <c r="O9" s="59">
        <f t="shared" si="0"/>
        <v>3</v>
      </c>
      <c r="P9" s="53">
        <f>O9/13</f>
        <v>0.23076923076923078</v>
      </c>
      <c r="Q9" s="64" t="s">
        <v>34</v>
      </c>
      <c r="R9" s="64" t="s">
        <v>29</v>
      </c>
      <c r="S9" s="64" t="s">
        <v>50</v>
      </c>
      <c r="T9" s="64" t="s">
        <v>231</v>
      </c>
      <c r="U9" s="58" t="s">
        <v>289</v>
      </c>
      <c r="V9" s="57"/>
      <c r="W9" s="5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D55F3-59F4-4EE3-B7C0-0BA41946E507}">
  <sheetPr codeName="Sheet11"/>
  <dimension ref="A1:U31"/>
  <sheetViews>
    <sheetView tabSelected="1" zoomScale="64" zoomScaleNormal="40" workbookViewId="0">
      <pane xSplit="1" ySplit="1" topLeftCell="N2" activePane="bottomRight" state="frozen"/>
      <selection activeCell="Q37" sqref="Q37"/>
      <selection pane="topRight" activeCell="Q37" sqref="Q37"/>
      <selection pane="bottomLeft" activeCell="Q37" sqref="Q37"/>
      <selection pane="bottomRight" activeCell="S6" sqref="S6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54" t="s">
        <v>535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536</v>
      </c>
      <c r="B2" s="78" t="s">
        <v>332</v>
      </c>
      <c r="C2" s="78" t="s">
        <v>332</v>
      </c>
      <c r="D2" s="78" t="s">
        <v>332</v>
      </c>
      <c r="E2" s="78" t="s">
        <v>332</v>
      </c>
      <c r="F2" s="78" t="s">
        <v>332</v>
      </c>
      <c r="G2" s="78" t="s">
        <v>332</v>
      </c>
      <c r="H2" s="78" t="s">
        <v>332</v>
      </c>
      <c r="I2" s="78" t="s">
        <v>332</v>
      </c>
      <c r="J2" s="78" t="s">
        <v>332</v>
      </c>
      <c r="K2" s="78" t="s">
        <v>332</v>
      </c>
      <c r="L2" s="78" t="s">
        <v>332</v>
      </c>
      <c r="M2" s="78" t="s">
        <v>332</v>
      </c>
      <c r="N2" s="78" t="s">
        <v>332</v>
      </c>
      <c r="O2" s="78"/>
      <c r="P2" s="78"/>
      <c r="Q2" s="79"/>
      <c r="R2" s="79"/>
      <c r="S2" s="79"/>
      <c r="T2" s="79"/>
      <c r="U2" s="79"/>
    </row>
    <row r="3" spans="1:21" ht="14.5" customHeight="1">
      <c r="A3" s="57" t="s">
        <v>537</v>
      </c>
      <c r="B3" s="57" t="s">
        <v>27</v>
      </c>
      <c r="C3" s="67" t="s">
        <v>33</v>
      </c>
      <c r="D3" s="57" t="s">
        <v>27</v>
      </c>
      <c r="E3" s="57" t="s">
        <v>27</v>
      </c>
      <c r="F3" s="67" t="s">
        <v>33</v>
      </c>
      <c r="G3" s="57" t="s">
        <v>27</v>
      </c>
      <c r="H3" s="57" t="s">
        <v>27</v>
      </c>
      <c r="I3" s="57" t="s">
        <v>27</v>
      </c>
      <c r="J3" s="57" t="s">
        <v>27</v>
      </c>
      <c r="K3" s="67" t="s">
        <v>33</v>
      </c>
      <c r="L3" s="67" t="s">
        <v>33</v>
      </c>
      <c r="M3" s="67" t="s">
        <v>33</v>
      </c>
      <c r="N3" s="67" t="s">
        <v>33</v>
      </c>
      <c r="O3" s="59">
        <f>COUNTIF(B3:N3,"✔")</f>
        <v>7</v>
      </c>
      <c r="P3" s="53">
        <f>O3/13</f>
        <v>0.53846153846153844</v>
      </c>
      <c r="Q3" s="58" t="s">
        <v>34</v>
      </c>
      <c r="R3" s="58" t="s">
        <v>29</v>
      </c>
      <c r="S3" s="58" t="s">
        <v>694</v>
      </c>
      <c r="T3" s="58" t="s">
        <v>300</v>
      </c>
      <c r="U3" s="58" t="s">
        <v>301</v>
      </c>
    </row>
    <row r="4" spans="1:21" ht="14.5" customHeight="1">
      <c r="A4" s="57" t="s">
        <v>538</v>
      </c>
      <c r="B4" s="67" t="s">
        <v>33</v>
      </c>
      <c r="C4" s="67" t="s">
        <v>33</v>
      </c>
      <c r="D4" s="67" t="s">
        <v>33</v>
      </c>
      <c r="E4" s="67" t="s">
        <v>33</v>
      </c>
      <c r="F4" s="67" t="s">
        <v>33</v>
      </c>
      <c r="G4" s="67" t="s">
        <v>33</v>
      </c>
      <c r="H4" s="57" t="s">
        <v>27</v>
      </c>
      <c r="I4" s="67" t="s">
        <v>33</v>
      </c>
      <c r="J4" s="57" t="s">
        <v>27</v>
      </c>
      <c r="K4" s="67" t="s">
        <v>33</v>
      </c>
      <c r="L4" s="67" t="s">
        <v>33</v>
      </c>
      <c r="M4" s="67" t="s">
        <v>33</v>
      </c>
      <c r="N4" s="67" t="s">
        <v>33</v>
      </c>
      <c r="O4" s="59">
        <f>COUNTIF(B4:N4,"✔")</f>
        <v>2</v>
      </c>
      <c r="P4" s="53">
        <f t="shared" ref="P4:P6" si="0">O4/13</f>
        <v>0.15384615384615385</v>
      </c>
      <c r="Q4" s="58" t="s">
        <v>34</v>
      </c>
      <c r="R4" s="58" t="s">
        <v>29</v>
      </c>
      <c r="S4" s="58" t="s">
        <v>694</v>
      </c>
      <c r="T4" s="58" t="s">
        <v>300</v>
      </c>
      <c r="U4" s="58" t="s">
        <v>301</v>
      </c>
    </row>
    <row r="5" spans="1:21" ht="14.5" customHeight="1">
      <c r="A5" s="57" t="s">
        <v>539</v>
      </c>
      <c r="B5" s="67" t="s">
        <v>33</v>
      </c>
      <c r="C5" s="67" t="s">
        <v>33</v>
      </c>
      <c r="D5" s="67" t="s">
        <v>33</v>
      </c>
      <c r="E5" s="67" t="s">
        <v>33</v>
      </c>
      <c r="F5" s="67" t="s">
        <v>33</v>
      </c>
      <c r="G5" s="67" t="s">
        <v>33</v>
      </c>
      <c r="H5" s="67" t="s">
        <v>33</v>
      </c>
      <c r="I5" s="67" t="s">
        <v>33</v>
      </c>
      <c r="J5" s="57" t="s">
        <v>27</v>
      </c>
      <c r="K5" s="67" t="s">
        <v>33</v>
      </c>
      <c r="L5" s="67" t="s">
        <v>33</v>
      </c>
      <c r="M5" s="67" t="s">
        <v>33</v>
      </c>
      <c r="N5" s="67" t="s">
        <v>33</v>
      </c>
      <c r="O5" s="59">
        <f>COUNTIF(B5:N5,"✔")</f>
        <v>1</v>
      </c>
      <c r="P5" s="53">
        <f t="shared" si="0"/>
        <v>7.6923076923076927E-2</v>
      </c>
      <c r="Q5" s="58" t="s">
        <v>34</v>
      </c>
      <c r="R5" s="58" t="s">
        <v>29</v>
      </c>
      <c r="S5" s="58" t="s">
        <v>694</v>
      </c>
      <c r="T5" s="58" t="s">
        <v>300</v>
      </c>
      <c r="U5" s="58" t="s">
        <v>301</v>
      </c>
    </row>
    <row r="6" spans="1:21" ht="14.5" customHeight="1">
      <c r="A6" s="57" t="s">
        <v>540</v>
      </c>
      <c r="B6" s="67" t="s">
        <v>33</v>
      </c>
      <c r="C6" s="67" t="s">
        <v>33</v>
      </c>
      <c r="D6" s="57" t="s">
        <v>27</v>
      </c>
      <c r="E6" s="67" t="s">
        <v>33</v>
      </c>
      <c r="F6" s="67" t="s">
        <v>33</v>
      </c>
      <c r="G6" s="67" t="s">
        <v>33</v>
      </c>
      <c r="H6" s="67" t="s">
        <v>33</v>
      </c>
      <c r="I6" s="67" t="s">
        <v>33</v>
      </c>
      <c r="J6" s="67" t="s">
        <v>33</v>
      </c>
      <c r="K6" s="67" t="s">
        <v>33</v>
      </c>
      <c r="L6" s="67" t="s">
        <v>33</v>
      </c>
      <c r="M6" s="67" t="s">
        <v>33</v>
      </c>
      <c r="N6" s="67" t="s">
        <v>33</v>
      </c>
      <c r="O6" s="59">
        <f>COUNTIF(B6:N6,"✔")</f>
        <v>1</v>
      </c>
      <c r="P6" s="53">
        <f t="shared" si="0"/>
        <v>7.6923076923076927E-2</v>
      </c>
      <c r="Q6" s="58" t="s">
        <v>34</v>
      </c>
      <c r="R6" s="58" t="s">
        <v>29</v>
      </c>
      <c r="S6" s="58" t="s">
        <v>50</v>
      </c>
      <c r="T6" s="58" t="s">
        <v>231</v>
      </c>
      <c r="U6" s="58" t="s">
        <v>289</v>
      </c>
    </row>
    <row r="7" spans="1:21" s="73" customFormat="1" ht="14.5" customHeight="1">
      <c r="A7" s="75" t="s">
        <v>541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6"/>
      <c r="P7" s="77"/>
      <c r="Q7" s="79"/>
      <c r="R7" s="79"/>
      <c r="S7" s="79"/>
      <c r="T7" s="79"/>
      <c r="U7" s="79"/>
    </row>
    <row r="8" spans="1:21" ht="14.5" customHeight="1">
      <c r="A8" s="57" t="s">
        <v>542</v>
      </c>
      <c r="B8" s="57" t="s">
        <v>27</v>
      </c>
      <c r="C8" s="67" t="s">
        <v>33</v>
      </c>
      <c r="D8" s="67" t="s">
        <v>33</v>
      </c>
      <c r="E8" s="57" t="s">
        <v>27</v>
      </c>
      <c r="F8" s="67" t="s">
        <v>33</v>
      </c>
      <c r="G8" s="67" t="s">
        <v>33</v>
      </c>
      <c r="H8" s="57" t="s">
        <v>27</v>
      </c>
      <c r="I8" s="57" t="s">
        <v>27</v>
      </c>
      <c r="J8" s="67" t="s">
        <v>33</v>
      </c>
      <c r="K8" s="67" t="s">
        <v>33</v>
      </c>
      <c r="L8" s="67" t="s">
        <v>33</v>
      </c>
      <c r="M8" s="67" t="s">
        <v>33</v>
      </c>
      <c r="N8" s="67" t="s">
        <v>33</v>
      </c>
      <c r="O8" s="59">
        <f t="shared" ref="O8:O18" si="1">COUNTIF(B8:N8,"✔")</f>
        <v>4</v>
      </c>
      <c r="P8" s="53">
        <f>O8/13</f>
        <v>0.30769230769230771</v>
      </c>
      <c r="Q8" s="58" t="s">
        <v>34</v>
      </c>
      <c r="R8" s="58" t="s">
        <v>164</v>
      </c>
      <c r="S8" s="58" t="s">
        <v>543</v>
      </c>
      <c r="T8" s="50" t="s">
        <v>716</v>
      </c>
      <c r="U8" s="58"/>
    </row>
    <row r="9" spans="1:21" ht="14.5" customHeight="1">
      <c r="A9" s="57" t="s">
        <v>544</v>
      </c>
      <c r="B9" s="57" t="s">
        <v>27</v>
      </c>
      <c r="C9" s="67" t="s">
        <v>33</v>
      </c>
      <c r="D9" s="67" t="s">
        <v>33</v>
      </c>
      <c r="E9" s="67" t="s">
        <v>33</v>
      </c>
      <c r="F9" s="67" t="s">
        <v>33</v>
      </c>
      <c r="G9" s="67" t="s">
        <v>33</v>
      </c>
      <c r="H9" s="57" t="s">
        <v>27</v>
      </c>
      <c r="I9" s="67" t="s">
        <v>33</v>
      </c>
      <c r="J9" s="67" t="s">
        <v>33</v>
      </c>
      <c r="K9" s="67" t="s">
        <v>33</v>
      </c>
      <c r="L9" s="67" t="s">
        <v>33</v>
      </c>
      <c r="M9" s="67" t="s">
        <v>33</v>
      </c>
      <c r="N9" s="67" t="s">
        <v>33</v>
      </c>
      <c r="O9" s="59">
        <f t="shared" si="1"/>
        <v>2</v>
      </c>
      <c r="P9" s="53">
        <f t="shared" ref="P9:P18" si="2">O9/13</f>
        <v>0.15384615384615385</v>
      </c>
      <c r="Q9" s="58" t="s">
        <v>34</v>
      </c>
      <c r="R9" s="58" t="s">
        <v>164</v>
      </c>
      <c r="S9" s="58" t="s">
        <v>543</v>
      </c>
      <c r="T9" s="58" t="s">
        <v>130</v>
      </c>
      <c r="U9" s="58" t="s">
        <v>83</v>
      </c>
    </row>
    <row r="10" spans="1:21" ht="14.5" customHeight="1">
      <c r="A10" s="57" t="s">
        <v>545</v>
      </c>
      <c r="B10" s="57" t="s">
        <v>27</v>
      </c>
      <c r="C10" s="67" t="s">
        <v>33</v>
      </c>
      <c r="D10" s="67" t="s">
        <v>33</v>
      </c>
      <c r="E10" s="67" t="s">
        <v>33</v>
      </c>
      <c r="F10" s="67" t="s">
        <v>33</v>
      </c>
      <c r="G10" s="67" t="s">
        <v>33</v>
      </c>
      <c r="H10" s="67" t="s">
        <v>33</v>
      </c>
      <c r="I10" s="67" t="s">
        <v>33</v>
      </c>
      <c r="J10" s="67" t="s">
        <v>33</v>
      </c>
      <c r="K10" s="67" t="s">
        <v>33</v>
      </c>
      <c r="L10" s="67" t="s">
        <v>33</v>
      </c>
      <c r="M10" s="67" t="s">
        <v>33</v>
      </c>
      <c r="N10" s="67" t="s">
        <v>33</v>
      </c>
      <c r="O10" s="59">
        <f t="shared" si="1"/>
        <v>1</v>
      </c>
      <c r="P10" s="53">
        <f t="shared" si="2"/>
        <v>7.6923076923076927E-2</v>
      </c>
      <c r="Q10" s="58"/>
      <c r="R10" s="58" t="s">
        <v>33</v>
      </c>
      <c r="S10" s="58"/>
      <c r="T10" s="58"/>
      <c r="U10" s="58"/>
    </row>
    <row r="11" spans="1:21" ht="14.5" customHeight="1">
      <c r="A11" s="57" t="s">
        <v>546</v>
      </c>
      <c r="B11" s="57" t="s">
        <v>27</v>
      </c>
      <c r="C11" s="67" t="s">
        <v>33</v>
      </c>
      <c r="D11" s="67" t="s">
        <v>33</v>
      </c>
      <c r="E11" s="67" t="s">
        <v>33</v>
      </c>
      <c r="F11" s="67" t="s">
        <v>33</v>
      </c>
      <c r="G11" s="67" t="s">
        <v>33</v>
      </c>
      <c r="H11" s="67" t="s">
        <v>33</v>
      </c>
      <c r="I11" s="67" t="s">
        <v>33</v>
      </c>
      <c r="J11" s="67" t="s">
        <v>33</v>
      </c>
      <c r="K11" s="67" t="s">
        <v>33</v>
      </c>
      <c r="L11" s="67" t="s">
        <v>33</v>
      </c>
      <c r="M11" s="67" t="s">
        <v>33</v>
      </c>
      <c r="N11" s="67" t="s">
        <v>33</v>
      </c>
      <c r="O11" s="59">
        <f t="shared" si="1"/>
        <v>1</v>
      </c>
      <c r="P11" s="53">
        <f t="shared" si="2"/>
        <v>7.6923076923076927E-2</v>
      </c>
      <c r="Q11" s="58"/>
      <c r="R11" s="58" t="s">
        <v>33</v>
      </c>
      <c r="S11" s="58"/>
      <c r="T11" s="58"/>
      <c r="U11" s="58"/>
    </row>
    <row r="12" spans="1:21" ht="14.5" customHeight="1">
      <c r="A12" s="57" t="s">
        <v>547</v>
      </c>
      <c r="B12" s="57" t="s">
        <v>27</v>
      </c>
      <c r="C12" s="67" t="s">
        <v>33</v>
      </c>
      <c r="D12" s="67" t="s">
        <v>33</v>
      </c>
      <c r="E12" s="67" t="s">
        <v>33</v>
      </c>
      <c r="F12" s="67" t="s">
        <v>33</v>
      </c>
      <c r="G12" s="67" t="s">
        <v>33</v>
      </c>
      <c r="H12" s="67" t="s">
        <v>33</v>
      </c>
      <c r="I12" s="67" t="s">
        <v>33</v>
      </c>
      <c r="J12" s="67" t="s">
        <v>33</v>
      </c>
      <c r="K12" s="67" t="s">
        <v>33</v>
      </c>
      <c r="L12" s="67" t="s">
        <v>33</v>
      </c>
      <c r="M12" s="67" t="s">
        <v>33</v>
      </c>
      <c r="N12" s="67" t="s">
        <v>33</v>
      </c>
      <c r="O12" s="59">
        <f t="shared" si="1"/>
        <v>1</v>
      </c>
      <c r="P12" s="53">
        <f t="shared" si="2"/>
        <v>7.6923076923076927E-2</v>
      </c>
      <c r="Q12" s="58" t="s">
        <v>34</v>
      </c>
      <c r="R12" s="58" t="s">
        <v>164</v>
      </c>
      <c r="S12" s="58" t="s">
        <v>543</v>
      </c>
      <c r="T12" s="58" t="s">
        <v>702</v>
      </c>
      <c r="U12" s="58" t="s">
        <v>703</v>
      </c>
    </row>
    <row r="13" spans="1:21" ht="14.5" customHeight="1">
      <c r="A13" s="57" t="s">
        <v>548</v>
      </c>
      <c r="B13" s="57" t="s">
        <v>27</v>
      </c>
      <c r="C13" s="67" t="s">
        <v>33</v>
      </c>
      <c r="D13" s="67" t="s">
        <v>33</v>
      </c>
      <c r="E13" s="67" t="s">
        <v>33</v>
      </c>
      <c r="F13" s="67" t="s">
        <v>33</v>
      </c>
      <c r="G13" s="67" t="s">
        <v>33</v>
      </c>
      <c r="H13" s="67" t="s">
        <v>33</v>
      </c>
      <c r="I13" s="67" t="s">
        <v>33</v>
      </c>
      <c r="J13" s="67" t="s">
        <v>33</v>
      </c>
      <c r="K13" s="67" t="s">
        <v>33</v>
      </c>
      <c r="L13" s="67" t="s">
        <v>33</v>
      </c>
      <c r="M13" s="67" t="s">
        <v>33</v>
      </c>
      <c r="N13" s="67" t="s">
        <v>33</v>
      </c>
      <c r="O13" s="59">
        <f t="shared" si="1"/>
        <v>1</v>
      </c>
      <c r="P13" s="53">
        <f t="shared" si="2"/>
        <v>7.6923076923076927E-2</v>
      </c>
      <c r="Q13" s="58" t="s">
        <v>34</v>
      </c>
      <c r="R13" s="58" t="s">
        <v>164</v>
      </c>
      <c r="S13" s="58" t="s">
        <v>543</v>
      </c>
      <c r="T13" s="58" t="s">
        <v>124</v>
      </c>
      <c r="U13" s="58" t="s">
        <v>549</v>
      </c>
    </row>
    <row r="14" spans="1:21" ht="14.5" customHeight="1">
      <c r="A14" s="57" t="s">
        <v>550</v>
      </c>
      <c r="B14" s="57" t="s">
        <v>27</v>
      </c>
      <c r="C14" s="67" t="s">
        <v>33</v>
      </c>
      <c r="D14" s="67" t="s">
        <v>33</v>
      </c>
      <c r="E14" s="67" t="s">
        <v>33</v>
      </c>
      <c r="F14" s="67" t="s">
        <v>33</v>
      </c>
      <c r="G14" s="67" t="s">
        <v>33</v>
      </c>
      <c r="H14" s="67" t="s">
        <v>33</v>
      </c>
      <c r="I14" s="67" t="s">
        <v>33</v>
      </c>
      <c r="J14" s="67" t="s">
        <v>33</v>
      </c>
      <c r="K14" s="67" t="s">
        <v>33</v>
      </c>
      <c r="L14" s="67" t="s">
        <v>33</v>
      </c>
      <c r="M14" s="67" t="s">
        <v>33</v>
      </c>
      <c r="N14" s="67" t="s">
        <v>33</v>
      </c>
      <c r="O14" s="59">
        <f t="shared" si="1"/>
        <v>1</v>
      </c>
      <c r="P14" s="53">
        <f t="shared" si="2"/>
        <v>7.6923076923076927E-2</v>
      </c>
      <c r="Q14" s="58" t="s">
        <v>34</v>
      </c>
      <c r="R14" s="58" t="s">
        <v>164</v>
      </c>
      <c r="S14" s="58" t="s">
        <v>543</v>
      </c>
      <c r="T14" s="58" t="s">
        <v>278</v>
      </c>
      <c r="U14" s="58" t="s">
        <v>145</v>
      </c>
    </row>
    <row r="15" spans="1:21" ht="14.5" customHeight="1">
      <c r="A15" s="57"/>
      <c r="B15" s="5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59"/>
      <c r="P15" s="53"/>
      <c r="Q15" s="58" t="s">
        <v>34</v>
      </c>
      <c r="R15" s="58" t="s">
        <v>164</v>
      </c>
      <c r="S15" s="58" t="s">
        <v>543</v>
      </c>
      <c r="T15" s="58" t="s">
        <v>551</v>
      </c>
      <c r="U15" s="58" t="s">
        <v>552</v>
      </c>
    </row>
    <row r="16" spans="1:21" ht="14.5" customHeight="1">
      <c r="A16" s="57"/>
      <c r="B16" s="5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59"/>
      <c r="P16" s="53"/>
      <c r="Q16" s="58" t="s">
        <v>34</v>
      </c>
      <c r="R16" s="58" t="s">
        <v>164</v>
      </c>
      <c r="S16" s="58" t="s">
        <v>543</v>
      </c>
      <c r="T16" s="58" t="s">
        <v>553</v>
      </c>
      <c r="U16" s="58" t="s">
        <v>554</v>
      </c>
    </row>
    <row r="17" spans="1:21" ht="14.5" customHeight="1">
      <c r="A17" s="57" t="s">
        <v>555</v>
      </c>
      <c r="B17" s="57" t="s">
        <v>27</v>
      </c>
      <c r="C17" s="67" t="s">
        <v>33</v>
      </c>
      <c r="D17" s="67" t="s">
        <v>33</v>
      </c>
      <c r="E17" s="67" t="s">
        <v>33</v>
      </c>
      <c r="F17" s="67" t="s">
        <v>33</v>
      </c>
      <c r="G17" s="57" t="s">
        <v>27</v>
      </c>
      <c r="H17" s="67" t="s">
        <v>33</v>
      </c>
      <c r="I17" s="67" t="s">
        <v>33</v>
      </c>
      <c r="J17" s="67" t="s">
        <v>33</v>
      </c>
      <c r="K17" s="67" t="s">
        <v>33</v>
      </c>
      <c r="L17" s="67" t="s">
        <v>33</v>
      </c>
      <c r="M17" s="67" t="s">
        <v>33</v>
      </c>
      <c r="N17" s="67" t="s">
        <v>33</v>
      </c>
      <c r="O17" s="59">
        <f t="shared" si="1"/>
        <v>2</v>
      </c>
      <c r="P17" s="53">
        <f t="shared" si="2"/>
        <v>0.15384615384615385</v>
      </c>
      <c r="Q17" s="58" t="s">
        <v>34</v>
      </c>
      <c r="R17" s="58" t="s">
        <v>164</v>
      </c>
      <c r="S17" s="58" t="s">
        <v>543</v>
      </c>
      <c r="T17" s="58" t="s">
        <v>704</v>
      </c>
      <c r="U17" s="58" t="s">
        <v>115</v>
      </c>
    </row>
    <row r="18" spans="1:21" ht="14.5" customHeight="1">
      <c r="A18" s="57" t="s">
        <v>556</v>
      </c>
      <c r="B18" s="57" t="s">
        <v>27</v>
      </c>
      <c r="C18" s="67" t="s">
        <v>33</v>
      </c>
      <c r="D18" s="67" t="s">
        <v>33</v>
      </c>
      <c r="E18" s="67" t="s">
        <v>33</v>
      </c>
      <c r="F18" s="67" t="s">
        <v>33</v>
      </c>
      <c r="G18" s="57" t="s">
        <v>27</v>
      </c>
      <c r="H18" s="67" t="s">
        <v>33</v>
      </c>
      <c r="I18" s="67" t="s">
        <v>33</v>
      </c>
      <c r="J18" s="67" t="s">
        <v>33</v>
      </c>
      <c r="K18" s="67" t="s">
        <v>33</v>
      </c>
      <c r="L18" s="67" t="s">
        <v>33</v>
      </c>
      <c r="M18" s="67" t="s">
        <v>33</v>
      </c>
      <c r="N18" s="67" t="s">
        <v>33</v>
      </c>
      <c r="O18" s="59">
        <f t="shared" si="1"/>
        <v>2</v>
      </c>
      <c r="P18" s="53">
        <f t="shared" si="2"/>
        <v>0.15384615384615385</v>
      </c>
      <c r="Q18" s="58" t="s">
        <v>34</v>
      </c>
      <c r="R18" s="58" t="s">
        <v>164</v>
      </c>
      <c r="S18" s="58" t="s">
        <v>543</v>
      </c>
      <c r="T18" s="58" t="s">
        <v>553</v>
      </c>
      <c r="U18" s="58" t="s">
        <v>554</v>
      </c>
    </row>
    <row r="19" spans="1:21" s="73" customFormat="1" ht="14.5" customHeight="1">
      <c r="A19" s="75" t="s">
        <v>557</v>
      </c>
      <c r="B19" s="78" t="s">
        <v>332</v>
      </c>
      <c r="C19" s="78" t="s">
        <v>332</v>
      </c>
      <c r="D19" s="78" t="s">
        <v>332</v>
      </c>
      <c r="E19" s="78" t="s">
        <v>332</v>
      </c>
      <c r="F19" s="78" t="s">
        <v>332</v>
      </c>
      <c r="G19" s="78" t="s">
        <v>332</v>
      </c>
      <c r="H19" s="78" t="s">
        <v>332</v>
      </c>
      <c r="I19" s="78" t="s">
        <v>332</v>
      </c>
      <c r="J19" s="78" t="s">
        <v>332</v>
      </c>
      <c r="K19" s="78" t="s">
        <v>332</v>
      </c>
      <c r="L19" s="78" t="s">
        <v>332</v>
      </c>
      <c r="M19" s="78" t="s">
        <v>332</v>
      </c>
      <c r="N19" s="78" t="s">
        <v>332</v>
      </c>
      <c r="O19" s="76"/>
      <c r="P19" s="77"/>
      <c r="Q19" s="79"/>
      <c r="R19" s="79"/>
      <c r="S19" s="79"/>
      <c r="T19" s="79"/>
      <c r="U19" s="79"/>
    </row>
    <row r="20" spans="1:21" ht="14.5" customHeight="1">
      <c r="A20" s="57" t="s">
        <v>558</v>
      </c>
      <c r="B20" s="67" t="s">
        <v>33</v>
      </c>
      <c r="C20" s="57" t="s">
        <v>27</v>
      </c>
      <c r="D20" s="67" t="s">
        <v>33</v>
      </c>
      <c r="E20" s="67" t="s">
        <v>33</v>
      </c>
      <c r="F20" s="67" t="s">
        <v>33</v>
      </c>
      <c r="G20" s="57" t="s">
        <v>27</v>
      </c>
      <c r="H20" s="67" t="s">
        <v>33</v>
      </c>
      <c r="I20" s="67" t="s">
        <v>33</v>
      </c>
      <c r="J20" s="57" t="s">
        <v>27</v>
      </c>
      <c r="K20" s="57" t="s">
        <v>27</v>
      </c>
      <c r="L20" s="67" t="s">
        <v>33</v>
      </c>
      <c r="M20" s="67" t="s">
        <v>33</v>
      </c>
      <c r="N20" s="67" t="s">
        <v>33</v>
      </c>
      <c r="O20" s="59">
        <f t="shared" ref="O20:O31" si="3">COUNTIF(B20:N20,"✔")</f>
        <v>4</v>
      </c>
      <c r="P20" s="53">
        <f>O20/13</f>
        <v>0.30769230769230771</v>
      </c>
      <c r="Q20" s="58" t="s">
        <v>34</v>
      </c>
      <c r="R20" s="58" t="s">
        <v>164</v>
      </c>
      <c r="S20" s="58" t="s">
        <v>560</v>
      </c>
      <c r="T20" s="50" t="s">
        <v>31</v>
      </c>
      <c r="U20" s="50" t="s">
        <v>31</v>
      </c>
    </row>
    <row r="21" spans="1:21" ht="14.5" customHeight="1">
      <c r="A21" s="90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59"/>
      <c r="P21" s="94"/>
      <c r="Q21" s="31" t="s">
        <v>34</v>
      </c>
      <c r="R21" s="50" t="s">
        <v>164</v>
      </c>
      <c r="S21" s="50" t="s">
        <v>565</v>
      </c>
      <c r="T21" s="50" t="s">
        <v>31</v>
      </c>
      <c r="U21" s="50" t="s">
        <v>31</v>
      </c>
    </row>
    <row r="22" spans="1:21" ht="14.5" customHeight="1">
      <c r="A22" s="57" t="s">
        <v>559</v>
      </c>
      <c r="B22" s="67" t="s">
        <v>33</v>
      </c>
      <c r="C22" s="67" t="s">
        <v>33</v>
      </c>
      <c r="D22" s="67" t="s">
        <v>33</v>
      </c>
      <c r="E22" s="67" t="s">
        <v>33</v>
      </c>
      <c r="F22" s="67" t="s">
        <v>33</v>
      </c>
      <c r="G22" s="67" t="s">
        <v>33</v>
      </c>
      <c r="H22" s="67" t="s">
        <v>33</v>
      </c>
      <c r="I22" s="67" t="s">
        <v>33</v>
      </c>
      <c r="J22" s="57" t="s">
        <v>27</v>
      </c>
      <c r="K22" s="67" t="s">
        <v>33</v>
      </c>
      <c r="L22" s="67" t="s">
        <v>33</v>
      </c>
      <c r="M22" s="67" t="s">
        <v>33</v>
      </c>
      <c r="N22" s="67" t="s">
        <v>33</v>
      </c>
      <c r="O22" s="59">
        <f t="shared" si="3"/>
        <v>1</v>
      </c>
      <c r="P22" s="53">
        <f t="shared" ref="P22:P27" si="4">O22/13</f>
        <v>7.6923076923076927E-2</v>
      </c>
      <c r="Q22" s="58" t="s">
        <v>34</v>
      </c>
      <c r="R22" s="58" t="s">
        <v>164</v>
      </c>
      <c r="S22" s="58" t="s">
        <v>560</v>
      </c>
      <c r="T22" s="58" t="s">
        <v>561</v>
      </c>
      <c r="U22" s="58" t="s">
        <v>562</v>
      </c>
    </row>
    <row r="23" spans="1:21" ht="14.5" customHeight="1">
      <c r="A23" s="57"/>
      <c r="B23" s="67"/>
      <c r="C23" s="67"/>
      <c r="D23" s="67"/>
      <c r="E23" s="67"/>
      <c r="F23" s="67"/>
      <c r="G23" s="67"/>
      <c r="H23" s="67"/>
      <c r="I23" s="67"/>
      <c r="J23" s="57"/>
      <c r="K23" s="67"/>
      <c r="L23" s="67"/>
      <c r="M23" s="67"/>
      <c r="N23" s="67"/>
      <c r="O23" s="59"/>
      <c r="P23" s="53"/>
      <c r="Q23" s="58" t="s">
        <v>34</v>
      </c>
      <c r="R23" s="58" t="s">
        <v>164</v>
      </c>
      <c r="S23" s="58" t="s">
        <v>560</v>
      </c>
      <c r="T23" s="58" t="s">
        <v>563</v>
      </c>
      <c r="U23" s="58" t="s">
        <v>145</v>
      </c>
    </row>
    <row r="24" spans="1:21" ht="14.5" customHeight="1">
      <c r="A24" s="57" t="s">
        <v>564</v>
      </c>
      <c r="B24" s="67" t="s">
        <v>33</v>
      </c>
      <c r="C24" s="57" t="s">
        <v>27</v>
      </c>
      <c r="D24" s="67" t="s">
        <v>33</v>
      </c>
      <c r="E24" s="67" t="s">
        <v>33</v>
      </c>
      <c r="F24" s="67" t="s">
        <v>33</v>
      </c>
      <c r="G24" s="57" t="s">
        <v>27</v>
      </c>
      <c r="H24" s="67" t="s">
        <v>33</v>
      </c>
      <c r="I24" s="67" t="s">
        <v>33</v>
      </c>
      <c r="J24" s="67" t="s">
        <v>33</v>
      </c>
      <c r="K24" s="67" t="s">
        <v>33</v>
      </c>
      <c r="L24" s="67" t="s">
        <v>33</v>
      </c>
      <c r="M24" s="67" t="s">
        <v>33</v>
      </c>
      <c r="N24" s="67" t="s">
        <v>33</v>
      </c>
      <c r="O24" s="59">
        <f t="shared" si="3"/>
        <v>2</v>
      </c>
      <c r="P24" s="53">
        <f t="shared" si="4"/>
        <v>0.15384615384615385</v>
      </c>
      <c r="Q24" s="58" t="s">
        <v>34</v>
      </c>
      <c r="R24" s="58" t="s">
        <v>164</v>
      </c>
      <c r="S24" s="58" t="s">
        <v>565</v>
      </c>
      <c r="T24" s="58" t="s">
        <v>272</v>
      </c>
      <c r="U24" s="58" t="s">
        <v>273</v>
      </c>
    </row>
    <row r="25" spans="1:21" ht="14.5" customHeight="1">
      <c r="A25" s="57" t="s">
        <v>566</v>
      </c>
      <c r="B25" s="67" t="s">
        <v>33</v>
      </c>
      <c r="C25" s="67" t="s">
        <v>33</v>
      </c>
      <c r="D25" s="67" t="s">
        <v>33</v>
      </c>
      <c r="E25" s="67" t="s">
        <v>33</v>
      </c>
      <c r="F25" s="67" t="s">
        <v>33</v>
      </c>
      <c r="G25" s="57" t="s">
        <v>27</v>
      </c>
      <c r="H25" s="67" t="s">
        <v>33</v>
      </c>
      <c r="I25" s="67" t="s">
        <v>33</v>
      </c>
      <c r="J25" s="67" t="s">
        <v>33</v>
      </c>
      <c r="K25" s="67" t="s">
        <v>33</v>
      </c>
      <c r="L25" s="67" t="s">
        <v>33</v>
      </c>
      <c r="M25" s="67" t="s">
        <v>33</v>
      </c>
      <c r="N25" s="67" t="s">
        <v>33</v>
      </c>
      <c r="O25" s="59">
        <f t="shared" si="3"/>
        <v>1</v>
      </c>
      <c r="P25" s="53">
        <f t="shared" si="4"/>
        <v>7.6923076923076927E-2</v>
      </c>
      <c r="Q25" s="58" t="s">
        <v>34</v>
      </c>
      <c r="R25" s="58" t="s">
        <v>164</v>
      </c>
      <c r="S25" s="58" t="s">
        <v>565</v>
      </c>
      <c r="T25" s="58" t="s">
        <v>272</v>
      </c>
      <c r="U25" s="58" t="s">
        <v>273</v>
      </c>
    </row>
    <row r="26" spans="1:21" ht="14.5" customHeight="1">
      <c r="A26" s="57" t="s">
        <v>567</v>
      </c>
      <c r="B26" s="67" t="s">
        <v>33</v>
      </c>
      <c r="C26" s="67" t="s">
        <v>33</v>
      </c>
      <c r="D26" s="67" t="s">
        <v>33</v>
      </c>
      <c r="E26" s="67" t="s">
        <v>33</v>
      </c>
      <c r="F26" s="67" t="s">
        <v>33</v>
      </c>
      <c r="G26" s="57" t="s">
        <v>27</v>
      </c>
      <c r="H26" s="67" t="s">
        <v>33</v>
      </c>
      <c r="I26" s="67" t="s">
        <v>33</v>
      </c>
      <c r="J26" s="67" t="s">
        <v>33</v>
      </c>
      <c r="K26" s="67" t="s">
        <v>33</v>
      </c>
      <c r="L26" s="67" t="s">
        <v>33</v>
      </c>
      <c r="M26" s="67" t="s">
        <v>33</v>
      </c>
      <c r="N26" s="67" t="s">
        <v>33</v>
      </c>
      <c r="O26" s="59">
        <f t="shared" si="3"/>
        <v>1</v>
      </c>
      <c r="P26" s="53">
        <f t="shared" si="4"/>
        <v>7.6923076923076927E-2</v>
      </c>
      <c r="Q26" s="58" t="s">
        <v>34</v>
      </c>
      <c r="R26" s="58" t="s">
        <v>29</v>
      </c>
      <c r="S26" s="58" t="s">
        <v>249</v>
      </c>
      <c r="T26" s="58" t="s">
        <v>124</v>
      </c>
      <c r="U26" s="58" t="s">
        <v>250</v>
      </c>
    </row>
    <row r="27" spans="1:21" ht="14.5" customHeight="1">
      <c r="A27" s="57" t="s">
        <v>568</v>
      </c>
      <c r="B27" s="67" t="s">
        <v>33</v>
      </c>
      <c r="C27" s="57" t="s">
        <v>27</v>
      </c>
      <c r="D27" s="67" t="s">
        <v>33</v>
      </c>
      <c r="E27" s="67" t="s">
        <v>33</v>
      </c>
      <c r="F27" s="67" t="s">
        <v>33</v>
      </c>
      <c r="G27" s="67" t="s">
        <v>33</v>
      </c>
      <c r="H27" s="67" t="s">
        <v>33</v>
      </c>
      <c r="I27" s="67" t="s">
        <v>33</v>
      </c>
      <c r="J27" s="67" t="s">
        <v>33</v>
      </c>
      <c r="K27" s="67" t="s">
        <v>33</v>
      </c>
      <c r="L27" s="67" t="s">
        <v>33</v>
      </c>
      <c r="M27" s="67" t="s">
        <v>33</v>
      </c>
      <c r="N27" s="67" t="s">
        <v>33</v>
      </c>
      <c r="O27" s="59">
        <f t="shared" si="3"/>
        <v>1</v>
      </c>
      <c r="P27" s="53">
        <f t="shared" si="4"/>
        <v>7.6923076923076927E-2</v>
      </c>
      <c r="Q27" s="58" t="s">
        <v>34</v>
      </c>
      <c r="R27" s="58" t="s">
        <v>29</v>
      </c>
      <c r="S27" s="58" t="s">
        <v>694</v>
      </c>
      <c r="T27" s="58" t="s">
        <v>300</v>
      </c>
      <c r="U27" s="58" t="s">
        <v>301</v>
      </c>
    </row>
    <row r="28" spans="1:21" s="73" customFormat="1" ht="14.5" customHeight="1">
      <c r="A28" s="75" t="s">
        <v>569</v>
      </c>
      <c r="B28" s="78" t="s">
        <v>332</v>
      </c>
      <c r="C28" s="78" t="s">
        <v>332</v>
      </c>
      <c r="D28" s="78" t="s">
        <v>332</v>
      </c>
      <c r="E28" s="78" t="s">
        <v>332</v>
      </c>
      <c r="F28" s="78" t="s">
        <v>332</v>
      </c>
      <c r="G28" s="78" t="s">
        <v>332</v>
      </c>
      <c r="H28" s="78" t="s">
        <v>332</v>
      </c>
      <c r="I28" s="78" t="s">
        <v>332</v>
      </c>
      <c r="J28" s="78" t="s">
        <v>332</v>
      </c>
      <c r="K28" s="78" t="s">
        <v>332</v>
      </c>
      <c r="L28" s="78" t="s">
        <v>332</v>
      </c>
      <c r="M28" s="78" t="s">
        <v>332</v>
      </c>
      <c r="N28" s="78" t="s">
        <v>332</v>
      </c>
      <c r="O28" s="76"/>
      <c r="P28" s="77"/>
      <c r="Q28" s="79"/>
      <c r="R28" s="79"/>
      <c r="S28" s="79"/>
      <c r="T28" s="79"/>
      <c r="U28" s="79"/>
    </row>
    <row r="29" spans="1:21" ht="14.5" customHeight="1">
      <c r="A29" s="57" t="s">
        <v>570</v>
      </c>
      <c r="B29" s="67" t="s">
        <v>33</v>
      </c>
      <c r="C29" s="67" t="s">
        <v>33</v>
      </c>
      <c r="D29" s="67" t="s">
        <v>33</v>
      </c>
      <c r="E29" s="67" t="s">
        <v>33</v>
      </c>
      <c r="F29" s="67" t="s">
        <v>33</v>
      </c>
      <c r="G29" s="57" t="s">
        <v>27</v>
      </c>
      <c r="H29" s="67" t="s">
        <v>33</v>
      </c>
      <c r="I29" s="67" t="s">
        <v>33</v>
      </c>
      <c r="J29" s="67" t="s">
        <v>33</v>
      </c>
      <c r="K29" s="67" t="s">
        <v>33</v>
      </c>
      <c r="L29" s="67" t="s">
        <v>33</v>
      </c>
      <c r="M29" s="67" t="s">
        <v>33</v>
      </c>
      <c r="N29" s="67" t="s">
        <v>33</v>
      </c>
      <c r="O29" s="59">
        <f t="shared" si="3"/>
        <v>1</v>
      </c>
      <c r="P29" s="53">
        <f>O29/13</f>
        <v>7.6923076923076927E-2</v>
      </c>
      <c r="Q29" s="58" t="s">
        <v>34</v>
      </c>
      <c r="R29" s="58" t="s">
        <v>29</v>
      </c>
      <c r="S29" s="58" t="s">
        <v>571</v>
      </c>
      <c r="T29" s="58" t="s">
        <v>572</v>
      </c>
      <c r="U29" s="58" t="s">
        <v>573</v>
      </c>
    </row>
    <row r="30" spans="1:21" ht="14.5" customHeight="1">
      <c r="A30" s="57" t="s">
        <v>574</v>
      </c>
      <c r="B30" s="57" t="s">
        <v>27</v>
      </c>
      <c r="C30" s="67" t="s">
        <v>33</v>
      </c>
      <c r="D30" s="57" t="s">
        <v>27</v>
      </c>
      <c r="E30" s="67" t="s">
        <v>33</v>
      </c>
      <c r="F30" s="67" t="s">
        <v>33</v>
      </c>
      <c r="G30" s="57" t="s">
        <v>27</v>
      </c>
      <c r="H30" s="67" t="s">
        <v>33</v>
      </c>
      <c r="I30" s="57" t="s">
        <v>27</v>
      </c>
      <c r="J30" s="67" t="s">
        <v>33</v>
      </c>
      <c r="K30" s="67" t="s">
        <v>33</v>
      </c>
      <c r="L30" s="67" t="s">
        <v>33</v>
      </c>
      <c r="M30" s="67" t="s">
        <v>33</v>
      </c>
      <c r="N30" s="67" t="s">
        <v>33</v>
      </c>
      <c r="O30" s="59">
        <f t="shared" si="3"/>
        <v>4</v>
      </c>
      <c r="P30" s="53">
        <f t="shared" ref="P30:P31" si="5">O30/13</f>
        <v>0.30769230769230771</v>
      </c>
      <c r="Q30" s="58" t="s">
        <v>34</v>
      </c>
      <c r="R30" s="58" t="s">
        <v>29</v>
      </c>
      <c r="S30" s="58" t="s">
        <v>694</v>
      </c>
      <c r="T30" s="58" t="s">
        <v>300</v>
      </c>
      <c r="U30" s="58" t="s">
        <v>301</v>
      </c>
    </row>
    <row r="31" spans="1:21" ht="14.5" customHeight="1">
      <c r="A31" s="57" t="s">
        <v>575</v>
      </c>
      <c r="B31" s="67" t="s">
        <v>33</v>
      </c>
      <c r="C31" s="67" t="s">
        <v>33</v>
      </c>
      <c r="D31" s="67" t="s">
        <v>33</v>
      </c>
      <c r="E31" s="67" t="s">
        <v>33</v>
      </c>
      <c r="F31" s="67" t="s">
        <v>33</v>
      </c>
      <c r="G31" s="67" t="s">
        <v>33</v>
      </c>
      <c r="H31" s="67" t="s">
        <v>33</v>
      </c>
      <c r="I31" s="57" t="s">
        <v>27</v>
      </c>
      <c r="J31" s="67" t="s">
        <v>33</v>
      </c>
      <c r="K31" s="67" t="s">
        <v>33</v>
      </c>
      <c r="L31" s="67" t="s">
        <v>33</v>
      </c>
      <c r="M31" s="67" t="s">
        <v>33</v>
      </c>
      <c r="N31" s="67" t="s">
        <v>33</v>
      </c>
      <c r="O31" s="59">
        <f t="shared" si="3"/>
        <v>1</v>
      </c>
      <c r="P31" s="53">
        <f t="shared" si="5"/>
        <v>7.6923076923076927E-2</v>
      </c>
      <c r="Q31" s="58" t="s">
        <v>34</v>
      </c>
      <c r="R31" s="58" t="s">
        <v>29</v>
      </c>
      <c r="S31" s="58" t="s">
        <v>694</v>
      </c>
      <c r="T31" s="58" t="s">
        <v>300</v>
      </c>
      <c r="U31" s="58" t="s">
        <v>301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219-1AEB-4AFF-80A2-4B6D52CD45BC}">
  <dimension ref="A1:U30"/>
  <sheetViews>
    <sheetView zoomScale="64" zoomScaleNormal="64" workbookViewId="0">
      <pane xSplit="1" topLeftCell="O1" activePane="topRight" state="frozen"/>
      <selection activeCell="Q37" sqref="Q37"/>
      <selection pane="topRight" activeCell="U27" sqref="U27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54" t="s">
        <v>576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s="73" customFormat="1" ht="14.5" customHeight="1">
      <c r="A2" s="75" t="s">
        <v>577</v>
      </c>
      <c r="B2" s="78" t="s">
        <v>332</v>
      </c>
      <c r="C2" s="78" t="s">
        <v>332</v>
      </c>
      <c r="D2" s="78" t="s">
        <v>332</v>
      </c>
      <c r="E2" s="78" t="s">
        <v>332</v>
      </c>
      <c r="F2" s="78" t="s">
        <v>332</v>
      </c>
      <c r="G2" s="78" t="s">
        <v>332</v>
      </c>
      <c r="H2" s="78" t="s">
        <v>332</v>
      </c>
      <c r="I2" s="78" t="s">
        <v>332</v>
      </c>
      <c r="J2" s="78" t="s">
        <v>332</v>
      </c>
      <c r="K2" s="78" t="s">
        <v>332</v>
      </c>
      <c r="L2" s="78" t="s">
        <v>332</v>
      </c>
      <c r="M2" s="78" t="s">
        <v>332</v>
      </c>
      <c r="N2" s="78" t="s">
        <v>332</v>
      </c>
      <c r="O2" s="76"/>
      <c r="P2" s="77"/>
      <c r="Q2" s="79"/>
      <c r="R2" s="79"/>
      <c r="S2" s="79"/>
      <c r="T2" s="79"/>
      <c r="U2" s="79"/>
    </row>
    <row r="3" spans="1:21" ht="14.5" customHeight="1">
      <c r="A3" s="57" t="s">
        <v>578</v>
      </c>
      <c r="B3" s="67" t="s">
        <v>33</v>
      </c>
      <c r="C3" s="67" t="s">
        <v>33</v>
      </c>
      <c r="D3" s="67" t="s">
        <v>33</v>
      </c>
      <c r="E3" s="67" t="s">
        <v>33</v>
      </c>
      <c r="F3" s="67" t="s">
        <v>33</v>
      </c>
      <c r="G3" s="67" t="s">
        <v>33</v>
      </c>
      <c r="H3" s="67" t="s">
        <v>33</v>
      </c>
      <c r="I3" s="67" t="s">
        <v>33</v>
      </c>
      <c r="J3" s="67" t="s">
        <v>33</v>
      </c>
      <c r="K3" s="57" t="s">
        <v>27</v>
      </c>
      <c r="L3" s="67" t="s">
        <v>33</v>
      </c>
      <c r="M3" s="67" t="s">
        <v>33</v>
      </c>
      <c r="N3" s="67" t="s">
        <v>33</v>
      </c>
      <c r="O3" s="59">
        <f t="shared" ref="O3:O11" si="0">COUNTIF(B3:N3,"✔")</f>
        <v>1</v>
      </c>
      <c r="P3" s="53">
        <f>O3/13</f>
        <v>7.6923076923076927E-2</v>
      </c>
      <c r="Q3" s="58" t="s">
        <v>34</v>
      </c>
      <c r="R3" s="58" t="s">
        <v>29</v>
      </c>
      <c r="S3" s="58" t="s">
        <v>694</v>
      </c>
      <c r="T3" s="58" t="s">
        <v>300</v>
      </c>
      <c r="U3" s="58" t="s">
        <v>301</v>
      </c>
    </row>
    <row r="4" spans="1:21" ht="14.5" customHeight="1">
      <c r="A4" s="57" t="s">
        <v>579</v>
      </c>
      <c r="B4" s="67" t="s">
        <v>33</v>
      </c>
      <c r="C4" s="57" t="s">
        <v>27</v>
      </c>
      <c r="D4" s="67" t="s">
        <v>33</v>
      </c>
      <c r="E4" s="67" t="s">
        <v>33</v>
      </c>
      <c r="F4" s="67" t="s">
        <v>33</v>
      </c>
      <c r="G4" s="67" t="s">
        <v>33</v>
      </c>
      <c r="H4" s="67" t="s">
        <v>33</v>
      </c>
      <c r="I4" s="67" t="s">
        <v>33</v>
      </c>
      <c r="J4" s="67" t="s">
        <v>33</v>
      </c>
      <c r="K4" s="67" t="s">
        <v>33</v>
      </c>
      <c r="L4" s="67" t="s">
        <v>33</v>
      </c>
      <c r="M4" s="67" t="s">
        <v>33</v>
      </c>
      <c r="N4" s="67" t="s">
        <v>33</v>
      </c>
      <c r="O4" s="59">
        <f t="shared" si="0"/>
        <v>1</v>
      </c>
      <c r="P4" s="53">
        <f t="shared" ref="P4:P11" si="1">O4/13</f>
        <v>7.6923076923076927E-2</v>
      </c>
      <c r="Q4" s="58" t="s">
        <v>34</v>
      </c>
      <c r="R4" s="58" t="s">
        <v>29</v>
      </c>
      <c r="S4" s="58" t="s">
        <v>249</v>
      </c>
      <c r="T4" s="58" t="s">
        <v>124</v>
      </c>
      <c r="U4" s="58" t="s">
        <v>250</v>
      </c>
    </row>
    <row r="5" spans="1:21" ht="14.5" customHeight="1">
      <c r="A5" s="57" t="s">
        <v>580</v>
      </c>
      <c r="B5" s="67" t="s">
        <v>33</v>
      </c>
      <c r="C5" s="57" t="s">
        <v>27</v>
      </c>
      <c r="D5" s="67" t="s">
        <v>33</v>
      </c>
      <c r="E5" s="67" t="s">
        <v>33</v>
      </c>
      <c r="F5" s="67" t="s">
        <v>33</v>
      </c>
      <c r="G5" s="67" t="s">
        <v>33</v>
      </c>
      <c r="H5" s="67" t="s">
        <v>33</v>
      </c>
      <c r="I5" s="67" t="s">
        <v>33</v>
      </c>
      <c r="J5" s="67" t="s">
        <v>33</v>
      </c>
      <c r="K5" s="57" t="s">
        <v>27</v>
      </c>
      <c r="L5" s="67" t="s">
        <v>33</v>
      </c>
      <c r="M5" s="67" t="s">
        <v>33</v>
      </c>
      <c r="N5" s="67" t="s">
        <v>33</v>
      </c>
      <c r="O5" s="59">
        <f t="shared" si="0"/>
        <v>2</v>
      </c>
      <c r="P5" s="53">
        <f t="shared" si="1"/>
        <v>0.15384615384615385</v>
      </c>
      <c r="Q5" s="58" t="s">
        <v>34</v>
      </c>
      <c r="R5" s="58" t="s">
        <v>29</v>
      </c>
      <c r="S5" s="58" t="s">
        <v>249</v>
      </c>
      <c r="T5" s="58" t="s">
        <v>124</v>
      </c>
      <c r="U5" s="58" t="s">
        <v>250</v>
      </c>
    </row>
    <row r="6" spans="1:21" ht="14.5" customHeight="1">
      <c r="A6" s="57" t="s">
        <v>581</v>
      </c>
      <c r="B6" s="67" t="s">
        <v>33</v>
      </c>
      <c r="C6" s="57" t="s">
        <v>27</v>
      </c>
      <c r="D6" s="67" t="s">
        <v>33</v>
      </c>
      <c r="E6" s="67" t="s">
        <v>33</v>
      </c>
      <c r="F6" s="67" t="s">
        <v>33</v>
      </c>
      <c r="G6" s="67" t="s">
        <v>33</v>
      </c>
      <c r="H6" s="67" t="s">
        <v>33</v>
      </c>
      <c r="I6" s="67" t="s">
        <v>33</v>
      </c>
      <c r="J6" s="67" t="s">
        <v>33</v>
      </c>
      <c r="K6" s="67" t="s">
        <v>33</v>
      </c>
      <c r="L6" s="67" t="s">
        <v>33</v>
      </c>
      <c r="M6" s="67" t="s">
        <v>33</v>
      </c>
      <c r="N6" s="67" t="s">
        <v>33</v>
      </c>
      <c r="O6" s="59">
        <f t="shared" si="0"/>
        <v>1</v>
      </c>
      <c r="P6" s="53">
        <f t="shared" si="1"/>
        <v>7.6923076923076927E-2</v>
      </c>
      <c r="Q6" s="58" t="s">
        <v>34</v>
      </c>
      <c r="R6" s="58" t="s">
        <v>29</v>
      </c>
      <c r="S6" s="58" t="s">
        <v>694</v>
      </c>
      <c r="T6" s="58" t="s">
        <v>300</v>
      </c>
      <c r="U6" s="58" t="s">
        <v>301</v>
      </c>
    </row>
    <row r="7" spans="1:21" ht="14.5" customHeight="1">
      <c r="A7" s="57" t="s">
        <v>582</v>
      </c>
      <c r="B7" s="67" t="s">
        <v>33</v>
      </c>
      <c r="C7" s="57" t="s">
        <v>27</v>
      </c>
      <c r="D7" s="57" t="s">
        <v>27</v>
      </c>
      <c r="E7" s="67" t="s">
        <v>33</v>
      </c>
      <c r="F7" s="67" t="s">
        <v>33</v>
      </c>
      <c r="G7" s="67" t="s">
        <v>33</v>
      </c>
      <c r="H7" s="67" t="s">
        <v>33</v>
      </c>
      <c r="I7" s="67" t="s">
        <v>33</v>
      </c>
      <c r="J7" s="67" t="s">
        <v>33</v>
      </c>
      <c r="K7" s="67" t="s">
        <v>33</v>
      </c>
      <c r="L7" s="67" t="s">
        <v>33</v>
      </c>
      <c r="M7" s="67" t="s">
        <v>33</v>
      </c>
      <c r="N7" s="67" t="s">
        <v>33</v>
      </c>
      <c r="O7" s="59">
        <f t="shared" si="0"/>
        <v>2</v>
      </c>
      <c r="P7" s="53">
        <f t="shared" si="1"/>
        <v>0.15384615384615385</v>
      </c>
      <c r="Q7" s="58" t="s">
        <v>34</v>
      </c>
      <c r="R7" s="58" t="s">
        <v>164</v>
      </c>
      <c r="S7" s="58" t="s">
        <v>252</v>
      </c>
      <c r="T7" s="58" t="s">
        <v>583</v>
      </c>
      <c r="U7" s="58" t="s">
        <v>145</v>
      </c>
    </row>
    <row r="8" spans="1:21" ht="14.5" customHeight="1">
      <c r="A8" s="57" t="s">
        <v>584</v>
      </c>
      <c r="B8" s="67" t="s">
        <v>33</v>
      </c>
      <c r="C8" s="57" t="s">
        <v>27</v>
      </c>
      <c r="D8" s="57" t="s">
        <v>27</v>
      </c>
      <c r="E8" s="67" t="s">
        <v>33</v>
      </c>
      <c r="F8" s="67" t="s">
        <v>33</v>
      </c>
      <c r="G8" s="67" t="s">
        <v>33</v>
      </c>
      <c r="H8" s="67" t="s">
        <v>33</v>
      </c>
      <c r="I8" s="67" t="s">
        <v>33</v>
      </c>
      <c r="J8" s="67" t="s">
        <v>33</v>
      </c>
      <c r="K8" s="67" t="s">
        <v>33</v>
      </c>
      <c r="L8" s="67" t="s">
        <v>33</v>
      </c>
      <c r="M8" s="67" t="s">
        <v>33</v>
      </c>
      <c r="N8" s="67" t="s">
        <v>33</v>
      </c>
      <c r="O8" s="59">
        <f t="shared" si="0"/>
        <v>2</v>
      </c>
      <c r="P8" s="53">
        <f t="shared" si="1"/>
        <v>0.15384615384615385</v>
      </c>
      <c r="Q8" s="58" t="s">
        <v>34</v>
      </c>
      <c r="R8" s="58" t="s">
        <v>164</v>
      </c>
      <c r="S8" s="58" t="s">
        <v>252</v>
      </c>
      <c r="T8" s="58" t="s">
        <v>585</v>
      </c>
      <c r="U8" s="58" t="s">
        <v>145</v>
      </c>
    </row>
    <row r="9" spans="1:21" ht="14.5" customHeight="1">
      <c r="A9" s="57" t="s">
        <v>586</v>
      </c>
      <c r="B9" s="67" t="s">
        <v>33</v>
      </c>
      <c r="C9" s="57" t="s">
        <v>27</v>
      </c>
      <c r="D9" s="67" t="s">
        <v>33</v>
      </c>
      <c r="E9" s="67" t="s">
        <v>33</v>
      </c>
      <c r="F9" s="67" t="s">
        <v>33</v>
      </c>
      <c r="G9" s="67" t="s">
        <v>33</v>
      </c>
      <c r="H9" s="67" t="s">
        <v>33</v>
      </c>
      <c r="I9" s="67" t="s">
        <v>33</v>
      </c>
      <c r="J9" s="67" t="s">
        <v>33</v>
      </c>
      <c r="K9" s="67" t="s">
        <v>33</v>
      </c>
      <c r="L9" s="67" t="s">
        <v>33</v>
      </c>
      <c r="M9" s="67" t="s">
        <v>33</v>
      </c>
      <c r="N9" s="67" t="s">
        <v>33</v>
      </c>
      <c r="O9" s="59">
        <f t="shared" si="0"/>
        <v>1</v>
      </c>
      <c r="P9" s="53">
        <f t="shared" si="1"/>
        <v>7.6923076923076927E-2</v>
      </c>
      <c r="Q9" s="58" t="s">
        <v>34</v>
      </c>
      <c r="R9" s="58" t="s">
        <v>29</v>
      </c>
      <c r="S9" s="58" t="s">
        <v>249</v>
      </c>
      <c r="T9" s="68" t="s">
        <v>705</v>
      </c>
      <c r="U9" s="58" t="s">
        <v>374</v>
      </c>
    </row>
    <row r="10" spans="1:21" ht="14.5" customHeight="1">
      <c r="A10" s="57" t="s">
        <v>587</v>
      </c>
      <c r="B10" s="67" t="s">
        <v>33</v>
      </c>
      <c r="C10" s="57" t="s">
        <v>27</v>
      </c>
      <c r="D10" s="67" t="s">
        <v>33</v>
      </c>
      <c r="E10" s="67" t="s">
        <v>33</v>
      </c>
      <c r="F10" s="67" t="s">
        <v>33</v>
      </c>
      <c r="G10" s="67" t="s">
        <v>33</v>
      </c>
      <c r="H10" s="67" t="s">
        <v>33</v>
      </c>
      <c r="I10" s="67" t="s">
        <v>33</v>
      </c>
      <c r="J10" s="67" t="s">
        <v>33</v>
      </c>
      <c r="K10" s="67" t="s">
        <v>33</v>
      </c>
      <c r="L10" s="67" t="s">
        <v>33</v>
      </c>
      <c r="M10" s="67" t="s">
        <v>33</v>
      </c>
      <c r="N10" s="67" t="s">
        <v>33</v>
      </c>
      <c r="O10" s="59">
        <f t="shared" si="0"/>
        <v>1</v>
      </c>
      <c r="P10" s="53">
        <f t="shared" si="1"/>
        <v>7.6923076923076927E-2</v>
      </c>
      <c r="Q10" s="58" t="s">
        <v>34</v>
      </c>
      <c r="R10" s="58" t="s">
        <v>29</v>
      </c>
      <c r="S10" s="58" t="s">
        <v>249</v>
      </c>
      <c r="T10" s="58" t="s">
        <v>124</v>
      </c>
      <c r="U10" s="58" t="s">
        <v>250</v>
      </c>
    </row>
    <row r="11" spans="1:21" ht="14.5" customHeight="1">
      <c r="A11" s="57" t="s">
        <v>588</v>
      </c>
      <c r="B11" s="67" t="s">
        <v>33</v>
      </c>
      <c r="C11" s="67" t="s">
        <v>33</v>
      </c>
      <c r="D11" s="57" t="s">
        <v>27</v>
      </c>
      <c r="E11" s="67" t="s">
        <v>33</v>
      </c>
      <c r="F11" s="67" t="s">
        <v>33</v>
      </c>
      <c r="G11" s="67" t="s">
        <v>33</v>
      </c>
      <c r="H11" s="67" t="s">
        <v>33</v>
      </c>
      <c r="I11" s="67" t="s">
        <v>33</v>
      </c>
      <c r="J11" s="67" t="s">
        <v>33</v>
      </c>
      <c r="K11" s="67" t="s">
        <v>33</v>
      </c>
      <c r="L11" s="67" t="s">
        <v>33</v>
      </c>
      <c r="M11" s="67" t="s">
        <v>33</v>
      </c>
      <c r="N11" s="67" t="s">
        <v>33</v>
      </c>
      <c r="O11" s="59">
        <f t="shared" si="0"/>
        <v>1</v>
      </c>
      <c r="P11" s="53">
        <f t="shared" si="1"/>
        <v>7.6923076923076927E-2</v>
      </c>
      <c r="Q11" s="58" t="s">
        <v>34</v>
      </c>
      <c r="R11" s="58" t="s">
        <v>313</v>
      </c>
      <c r="S11" s="58" t="s">
        <v>314</v>
      </c>
      <c r="T11" s="58" t="s">
        <v>589</v>
      </c>
      <c r="U11" s="58" t="s">
        <v>531</v>
      </c>
    </row>
    <row r="12" spans="1:21" s="73" customFormat="1" ht="14.5" customHeight="1">
      <c r="A12" s="75" t="s">
        <v>590</v>
      </c>
      <c r="B12" s="78" t="s">
        <v>332</v>
      </c>
      <c r="C12" s="78" t="s">
        <v>332</v>
      </c>
      <c r="D12" s="78" t="s">
        <v>332</v>
      </c>
      <c r="E12" s="78" t="s">
        <v>332</v>
      </c>
      <c r="F12" s="78" t="s">
        <v>332</v>
      </c>
      <c r="G12" s="78" t="s">
        <v>332</v>
      </c>
      <c r="H12" s="78" t="s">
        <v>332</v>
      </c>
      <c r="I12" s="78" t="s">
        <v>332</v>
      </c>
      <c r="J12" s="78" t="s">
        <v>332</v>
      </c>
      <c r="K12" s="78" t="s">
        <v>332</v>
      </c>
      <c r="L12" s="78" t="s">
        <v>332</v>
      </c>
      <c r="M12" s="78" t="s">
        <v>332</v>
      </c>
      <c r="N12" s="78" t="s">
        <v>332</v>
      </c>
      <c r="O12" s="76"/>
      <c r="P12" s="77"/>
      <c r="Q12" s="79"/>
      <c r="R12" s="79"/>
      <c r="S12" s="79"/>
      <c r="T12" s="79"/>
      <c r="U12" s="79"/>
    </row>
    <row r="13" spans="1:21" ht="14.5" customHeight="1">
      <c r="A13" s="57" t="s">
        <v>591</v>
      </c>
      <c r="B13" s="67" t="s">
        <v>33</v>
      </c>
      <c r="C13" s="67" t="s">
        <v>33</v>
      </c>
      <c r="D13" s="67" t="s">
        <v>33</v>
      </c>
      <c r="E13" s="67" t="s">
        <v>33</v>
      </c>
      <c r="F13" s="67" t="s">
        <v>33</v>
      </c>
      <c r="G13" s="67" t="s">
        <v>33</v>
      </c>
      <c r="H13" s="67" t="s">
        <v>33</v>
      </c>
      <c r="I13" s="57" t="s">
        <v>27</v>
      </c>
      <c r="J13" s="67" t="s">
        <v>33</v>
      </c>
      <c r="K13" s="67" t="s">
        <v>33</v>
      </c>
      <c r="L13" s="67" t="s">
        <v>33</v>
      </c>
      <c r="M13" s="67" t="s">
        <v>33</v>
      </c>
      <c r="N13" s="67" t="s">
        <v>33</v>
      </c>
      <c r="O13" s="59">
        <f>COUNTIF(B13:N13,"✔")</f>
        <v>1</v>
      </c>
      <c r="P13" s="53">
        <f>O13/13</f>
        <v>7.6923076923076927E-2</v>
      </c>
      <c r="Q13" s="58" t="s">
        <v>34</v>
      </c>
      <c r="R13" s="58" t="s">
        <v>29</v>
      </c>
      <c r="S13" s="58" t="s">
        <v>307</v>
      </c>
      <c r="T13" s="58" t="s">
        <v>124</v>
      </c>
      <c r="U13" s="58" t="s">
        <v>308</v>
      </c>
    </row>
    <row r="14" spans="1:21" ht="14.5" customHeight="1">
      <c r="A14" s="57" t="s">
        <v>592</v>
      </c>
      <c r="B14" s="67" t="s">
        <v>33</v>
      </c>
      <c r="C14" s="67" t="s">
        <v>33</v>
      </c>
      <c r="D14" s="67" t="s">
        <v>33</v>
      </c>
      <c r="E14" s="67" t="s">
        <v>33</v>
      </c>
      <c r="F14" s="67" t="s">
        <v>33</v>
      </c>
      <c r="G14" s="67" t="s">
        <v>33</v>
      </c>
      <c r="H14" s="67" t="s">
        <v>33</v>
      </c>
      <c r="I14" s="57" t="s">
        <v>27</v>
      </c>
      <c r="J14" s="67" t="s">
        <v>33</v>
      </c>
      <c r="K14" s="67" t="s">
        <v>33</v>
      </c>
      <c r="L14" s="67" t="s">
        <v>33</v>
      </c>
      <c r="M14" s="67" t="s">
        <v>33</v>
      </c>
      <c r="N14" s="67" t="s">
        <v>33</v>
      </c>
      <c r="O14" s="59">
        <f>COUNTIF(B14:N14,"✔")</f>
        <v>1</v>
      </c>
      <c r="P14" s="53">
        <f t="shared" ref="P14:P16" si="2">O14/13</f>
        <v>7.6923076923076927E-2</v>
      </c>
      <c r="Q14" s="58" t="s">
        <v>34</v>
      </c>
      <c r="R14" s="58" t="s">
        <v>29</v>
      </c>
      <c r="S14" s="58" t="s">
        <v>307</v>
      </c>
      <c r="T14" s="58" t="s">
        <v>124</v>
      </c>
      <c r="U14" s="58" t="s">
        <v>308</v>
      </c>
    </row>
    <row r="15" spans="1:21" ht="14.5" customHeight="1">
      <c r="A15" s="57" t="s">
        <v>593</v>
      </c>
      <c r="B15" s="67" t="s">
        <v>33</v>
      </c>
      <c r="C15" s="67" t="s">
        <v>33</v>
      </c>
      <c r="D15" s="67" t="s">
        <v>33</v>
      </c>
      <c r="E15" s="67" t="s">
        <v>33</v>
      </c>
      <c r="F15" s="67" t="s">
        <v>33</v>
      </c>
      <c r="G15" s="67" t="s">
        <v>33</v>
      </c>
      <c r="H15" s="67" t="s">
        <v>33</v>
      </c>
      <c r="I15" s="57" t="s">
        <v>27</v>
      </c>
      <c r="J15" s="67" t="s">
        <v>33</v>
      </c>
      <c r="K15" s="67" t="s">
        <v>33</v>
      </c>
      <c r="L15" s="67" t="s">
        <v>33</v>
      </c>
      <c r="M15" s="67" t="s">
        <v>33</v>
      </c>
      <c r="N15" s="67" t="s">
        <v>33</v>
      </c>
      <c r="O15" s="59">
        <f>COUNTIF(B15:N15,"✔")</f>
        <v>1</v>
      </c>
      <c r="P15" s="53">
        <f t="shared" si="2"/>
        <v>7.6923076923076927E-2</v>
      </c>
      <c r="Q15" s="58" t="s">
        <v>34</v>
      </c>
      <c r="R15" s="58" t="s">
        <v>29</v>
      </c>
      <c r="S15" s="58" t="s">
        <v>307</v>
      </c>
      <c r="T15" s="58" t="s">
        <v>124</v>
      </c>
      <c r="U15" s="58" t="s">
        <v>308</v>
      </c>
    </row>
    <row r="16" spans="1:21" ht="14.5" customHeight="1">
      <c r="A16" s="57" t="s">
        <v>594</v>
      </c>
      <c r="B16" s="67" t="s">
        <v>33</v>
      </c>
      <c r="C16" s="67" t="s">
        <v>33</v>
      </c>
      <c r="D16" s="67" t="s">
        <v>33</v>
      </c>
      <c r="E16" s="67" t="s">
        <v>33</v>
      </c>
      <c r="F16" s="67" t="s">
        <v>33</v>
      </c>
      <c r="G16" s="67" t="s">
        <v>33</v>
      </c>
      <c r="H16" s="67" t="s">
        <v>33</v>
      </c>
      <c r="I16" s="57" t="s">
        <v>27</v>
      </c>
      <c r="J16" s="67" t="s">
        <v>33</v>
      </c>
      <c r="K16" s="67" t="s">
        <v>33</v>
      </c>
      <c r="L16" s="67" t="s">
        <v>33</v>
      </c>
      <c r="M16" s="67" t="s">
        <v>33</v>
      </c>
      <c r="N16" s="67" t="s">
        <v>33</v>
      </c>
      <c r="O16" s="59">
        <f>COUNTIF(B16:N16,"✔")</f>
        <v>1</v>
      </c>
      <c r="P16" s="53">
        <f t="shared" si="2"/>
        <v>7.6923076923076927E-2</v>
      </c>
      <c r="Q16" s="58" t="s">
        <v>34</v>
      </c>
      <c r="R16" s="58" t="s">
        <v>678</v>
      </c>
      <c r="S16" s="58" t="s">
        <v>595</v>
      </c>
      <c r="T16" s="58" t="s">
        <v>124</v>
      </c>
      <c r="U16" s="58" t="s">
        <v>596</v>
      </c>
    </row>
    <row r="17" spans="1:21" ht="14.5" customHeight="1">
      <c r="A17" s="57" t="s">
        <v>597</v>
      </c>
      <c r="B17" s="67" t="s">
        <v>33</v>
      </c>
      <c r="C17" s="67" t="s">
        <v>33</v>
      </c>
      <c r="D17" s="67" t="s">
        <v>33</v>
      </c>
      <c r="E17" s="67" t="s">
        <v>33</v>
      </c>
      <c r="F17" s="67" t="s">
        <v>33</v>
      </c>
      <c r="G17" s="67" t="s">
        <v>33</v>
      </c>
      <c r="H17" s="67" t="s">
        <v>33</v>
      </c>
      <c r="I17" s="57" t="s">
        <v>27</v>
      </c>
      <c r="J17" s="67" t="s">
        <v>33</v>
      </c>
      <c r="K17" s="67" t="s">
        <v>33</v>
      </c>
      <c r="L17" s="67" t="s">
        <v>33</v>
      </c>
      <c r="M17" s="67" t="s">
        <v>33</v>
      </c>
      <c r="N17" s="67" t="s">
        <v>33</v>
      </c>
      <c r="O17" s="59">
        <f>COUNTIF(B17:N17,"✔")</f>
        <v>1</v>
      </c>
      <c r="P17" s="53">
        <f>O17/13</f>
        <v>7.6923076923076927E-2</v>
      </c>
      <c r="Q17" s="58" t="s">
        <v>34</v>
      </c>
      <c r="R17" s="58" t="s">
        <v>29</v>
      </c>
      <c r="S17" s="58" t="s">
        <v>694</v>
      </c>
      <c r="T17" s="58" t="s">
        <v>300</v>
      </c>
      <c r="U17" s="58" t="s">
        <v>301</v>
      </c>
    </row>
    <row r="18" spans="1:21" s="73" customFormat="1" ht="14.5" customHeight="1">
      <c r="A18" s="75" t="s">
        <v>598</v>
      </c>
      <c r="B18" s="78" t="s">
        <v>332</v>
      </c>
      <c r="C18" s="78" t="s">
        <v>332</v>
      </c>
      <c r="D18" s="78" t="s">
        <v>332</v>
      </c>
      <c r="E18" s="78" t="s">
        <v>332</v>
      </c>
      <c r="F18" s="78" t="s">
        <v>332</v>
      </c>
      <c r="G18" s="78" t="s">
        <v>332</v>
      </c>
      <c r="H18" s="78" t="s">
        <v>332</v>
      </c>
      <c r="I18" s="78" t="s">
        <v>332</v>
      </c>
      <c r="J18" s="78" t="s">
        <v>332</v>
      </c>
      <c r="K18" s="78" t="s">
        <v>332</v>
      </c>
      <c r="L18" s="78" t="s">
        <v>332</v>
      </c>
      <c r="M18" s="78" t="s">
        <v>332</v>
      </c>
      <c r="N18" s="78" t="s">
        <v>332</v>
      </c>
      <c r="O18" s="76"/>
      <c r="P18" s="77"/>
      <c r="Q18" s="79"/>
      <c r="R18" s="79"/>
      <c r="S18" s="79"/>
      <c r="T18" s="79"/>
      <c r="U18" s="79"/>
    </row>
    <row r="19" spans="1:21" ht="14.5" customHeight="1">
      <c r="A19" s="57" t="s">
        <v>599</v>
      </c>
      <c r="B19" s="67" t="s">
        <v>33</v>
      </c>
      <c r="C19" s="67" t="s">
        <v>33</v>
      </c>
      <c r="D19" s="67" t="s">
        <v>33</v>
      </c>
      <c r="E19" s="67" t="s">
        <v>33</v>
      </c>
      <c r="F19" s="67" t="s">
        <v>33</v>
      </c>
      <c r="G19" s="67" t="s">
        <v>33</v>
      </c>
      <c r="H19" s="67" t="s">
        <v>33</v>
      </c>
      <c r="I19" s="57" t="s">
        <v>27</v>
      </c>
      <c r="J19" s="67" t="s">
        <v>33</v>
      </c>
      <c r="K19" s="67" t="s">
        <v>33</v>
      </c>
      <c r="L19" s="67" t="s">
        <v>33</v>
      </c>
      <c r="M19" s="67" t="s">
        <v>33</v>
      </c>
      <c r="N19" s="67" t="s">
        <v>33</v>
      </c>
      <c r="O19" s="59">
        <f>COUNTIF(B19:N19,"✔")</f>
        <v>1</v>
      </c>
      <c r="P19" s="53">
        <f>O19/13</f>
        <v>7.6923076923076927E-2</v>
      </c>
      <c r="Q19" s="58" t="s">
        <v>34</v>
      </c>
      <c r="R19" s="58" t="s">
        <v>29</v>
      </c>
      <c r="S19" s="58" t="s">
        <v>694</v>
      </c>
      <c r="T19" s="58" t="s">
        <v>300</v>
      </c>
      <c r="U19" s="58" t="s">
        <v>301</v>
      </c>
    </row>
    <row r="20" spans="1:21" ht="14.5" customHeight="1">
      <c r="A20" s="57" t="s">
        <v>600</v>
      </c>
      <c r="B20" s="67" t="s">
        <v>33</v>
      </c>
      <c r="C20" s="67" t="s">
        <v>33</v>
      </c>
      <c r="D20" s="67" t="s">
        <v>33</v>
      </c>
      <c r="E20" s="67" t="s">
        <v>33</v>
      </c>
      <c r="F20" s="67" t="s">
        <v>33</v>
      </c>
      <c r="G20" s="67" t="s">
        <v>33</v>
      </c>
      <c r="H20" s="67" t="s">
        <v>33</v>
      </c>
      <c r="I20" s="57" t="s">
        <v>27</v>
      </c>
      <c r="J20" s="67" t="s">
        <v>33</v>
      </c>
      <c r="K20" s="67" t="s">
        <v>33</v>
      </c>
      <c r="L20" s="67" t="s">
        <v>33</v>
      </c>
      <c r="M20" s="67" t="s">
        <v>33</v>
      </c>
      <c r="N20" s="67" t="s">
        <v>33</v>
      </c>
      <c r="O20" s="59">
        <f>COUNTIF(B20:N20,"✔")</f>
        <v>1</v>
      </c>
      <c r="P20" s="53">
        <f t="shared" ref="P20:P21" si="3">O20/13</f>
        <v>7.6923076923076927E-2</v>
      </c>
      <c r="Q20" s="58" t="s">
        <v>34</v>
      </c>
      <c r="R20" s="58" t="s">
        <v>29</v>
      </c>
      <c r="S20" s="58" t="s">
        <v>694</v>
      </c>
      <c r="T20" s="58" t="s">
        <v>300</v>
      </c>
      <c r="U20" s="58" t="s">
        <v>301</v>
      </c>
    </row>
    <row r="21" spans="1:21" ht="14.5" customHeight="1">
      <c r="A21" s="57" t="s">
        <v>601</v>
      </c>
      <c r="B21" s="67" t="s">
        <v>33</v>
      </c>
      <c r="C21" s="67" t="s">
        <v>33</v>
      </c>
      <c r="D21" s="67" t="s">
        <v>33</v>
      </c>
      <c r="E21" s="67" t="s">
        <v>33</v>
      </c>
      <c r="F21" s="67" t="s">
        <v>33</v>
      </c>
      <c r="G21" s="67" t="s">
        <v>33</v>
      </c>
      <c r="H21" s="67" t="s">
        <v>33</v>
      </c>
      <c r="I21" s="57" t="s">
        <v>27</v>
      </c>
      <c r="J21" s="67" t="s">
        <v>33</v>
      </c>
      <c r="K21" s="67" t="s">
        <v>33</v>
      </c>
      <c r="L21" s="67" t="s">
        <v>33</v>
      </c>
      <c r="M21" s="67" t="s">
        <v>33</v>
      </c>
      <c r="N21" s="67" t="s">
        <v>33</v>
      </c>
      <c r="O21" s="59">
        <f>COUNTIF(B21:N21,"✔")</f>
        <v>1</v>
      </c>
      <c r="P21" s="53">
        <f t="shared" si="3"/>
        <v>7.6923076923076927E-2</v>
      </c>
      <c r="Q21" s="58" t="s">
        <v>34</v>
      </c>
      <c r="R21" s="58" t="s">
        <v>29</v>
      </c>
      <c r="S21" s="58" t="s">
        <v>694</v>
      </c>
      <c r="T21" s="58" t="s">
        <v>300</v>
      </c>
      <c r="U21" s="58" t="s">
        <v>301</v>
      </c>
    </row>
    <row r="22" spans="1:21" s="73" customFormat="1" ht="14.5" customHeight="1">
      <c r="A22" s="75" t="s">
        <v>602</v>
      </c>
      <c r="B22" s="78" t="s">
        <v>332</v>
      </c>
      <c r="C22" s="78" t="s">
        <v>332</v>
      </c>
      <c r="D22" s="78" t="s">
        <v>332</v>
      </c>
      <c r="E22" s="78" t="s">
        <v>332</v>
      </c>
      <c r="F22" s="78" t="s">
        <v>332</v>
      </c>
      <c r="G22" s="78" t="s">
        <v>332</v>
      </c>
      <c r="H22" s="78" t="s">
        <v>332</v>
      </c>
      <c r="I22" s="78" t="s">
        <v>332</v>
      </c>
      <c r="J22" s="78" t="s">
        <v>332</v>
      </c>
      <c r="K22" s="78" t="s">
        <v>332</v>
      </c>
      <c r="L22" s="78" t="s">
        <v>332</v>
      </c>
      <c r="M22" s="78"/>
      <c r="N22" s="78"/>
      <c r="O22" s="76"/>
      <c r="P22" s="77"/>
      <c r="Q22" s="79"/>
      <c r="R22" s="79"/>
      <c r="S22" s="79"/>
      <c r="T22" s="79"/>
      <c r="U22" s="79"/>
    </row>
    <row r="23" spans="1:21" ht="14.5" customHeight="1">
      <c r="A23" s="57" t="s">
        <v>603</v>
      </c>
      <c r="B23" s="57" t="s">
        <v>27</v>
      </c>
      <c r="C23" s="67" t="s">
        <v>33</v>
      </c>
      <c r="D23" s="57" t="s">
        <v>27</v>
      </c>
      <c r="E23" s="57" t="s">
        <v>27</v>
      </c>
      <c r="F23" s="67" t="s">
        <v>33</v>
      </c>
      <c r="G23" s="57" t="s">
        <v>27</v>
      </c>
      <c r="H23" s="67" t="s">
        <v>33</v>
      </c>
      <c r="I23" s="57" t="s">
        <v>27</v>
      </c>
      <c r="J23" s="67" t="s">
        <v>33</v>
      </c>
      <c r="K23" s="67" t="s">
        <v>33</v>
      </c>
      <c r="L23" s="67" t="s">
        <v>33</v>
      </c>
      <c r="M23" s="67" t="s">
        <v>33</v>
      </c>
      <c r="N23" s="67" t="s">
        <v>33</v>
      </c>
      <c r="O23" s="59">
        <f>COUNTIF(B23:N23,"✔")</f>
        <v>5</v>
      </c>
      <c r="P23" s="53">
        <f>O23/13</f>
        <v>0.38461538461538464</v>
      </c>
      <c r="Q23" s="58" t="s">
        <v>34</v>
      </c>
      <c r="R23" s="58" t="s">
        <v>29</v>
      </c>
      <c r="S23" s="58" t="s">
        <v>694</v>
      </c>
      <c r="T23" s="58" t="s">
        <v>300</v>
      </c>
      <c r="U23" s="58" t="s">
        <v>301</v>
      </c>
    </row>
    <row r="24" spans="1:21" ht="14.5" customHeight="1">
      <c r="A24" s="57" t="s">
        <v>604</v>
      </c>
      <c r="B24" s="67" t="s">
        <v>33</v>
      </c>
      <c r="C24" s="67" t="s">
        <v>33</v>
      </c>
      <c r="D24" s="67" t="s">
        <v>33</v>
      </c>
      <c r="E24" s="67" t="s">
        <v>33</v>
      </c>
      <c r="F24" s="67" t="s">
        <v>33</v>
      </c>
      <c r="G24" s="67" t="s">
        <v>33</v>
      </c>
      <c r="H24" s="67" t="s">
        <v>33</v>
      </c>
      <c r="I24" s="57" t="s">
        <v>27</v>
      </c>
      <c r="J24" s="67" t="s">
        <v>33</v>
      </c>
      <c r="K24" s="67" t="s">
        <v>33</v>
      </c>
      <c r="L24" s="67" t="s">
        <v>33</v>
      </c>
      <c r="M24" s="67" t="s">
        <v>33</v>
      </c>
      <c r="N24" s="67" t="s">
        <v>33</v>
      </c>
      <c r="O24" s="59">
        <f>COUNTIF(B24:N24,"✔")</f>
        <v>1</v>
      </c>
      <c r="P24" s="53">
        <f>O24/13</f>
        <v>7.6923076923076927E-2</v>
      </c>
      <c r="Q24" s="58" t="s">
        <v>34</v>
      </c>
      <c r="R24" s="58" t="s">
        <v>29</v>
      </c>
      <c r="S24" s="58" t="s">
        <v>50</v>
      </c>
      <c r="T24" s="58" t="s">
        <v>231</v>
      </c>
      <c r="U24" s="58" t="s">
        <v>289</v>
      </c>
    </row>
    <row r="25" spans="1:21" s="73" customFormat="1" ht="14.5" customHeight="1">
      <c r="A25" s="75" t="s">
        <v>605</v>
      </c>
      <c r="B25" s="78" t="s">
        <v>332</v>
      </c>
      <c r="C25" s="78" t="s">
        <v>332</v>
      </c>
      <c r="D25" s="78" t="s">
        <v>332</v>
      </c>
      <c r="E25" s="78" t="s">
        <v>332</v>
      </c>
      <c r="F25" s="78" t="s">
        <v>332</v>
      </c>
      <c r="G25" s="78" t="s">
        <v>332</v>
      </c>
      <c r="H25" s="78" t="s">
        <v>332</v>
      </c>
      <c r="I25" s="78" t="s">
        <v>332</v>
      </c>
      <c r="J25" s="78" t="s">
        <v>332</v>
      </c>
      <c r="K25" s="78" t="s">
        <v>332</v>
      </c>
      <c r="L25" s="78" t="s">
        <v>332</v>
      </c>
      <c r="M25" s="78" t="s">
        <v>332</v>
      </c>
      <c r="N25" s="78" t="s">
        <v>332</v>
      </c>
      <c r="O25" s="76"/>
      <c r="P25" s="77"/>
      <c r="Q25" s="79"/>
      <c r="R25" s="79"/>
      <c r="S25" s="79"/>
      <c r="T25" s="79"/>
      <c r="U25" s="79"/>
    </row>
    <row r="26" spans="1:21" ht="14.5" customHeight="1">
      <c r="A26" s="57" t="s">
        <v>606</v>
      </c>
      <c r="B26" s="67" t="s">
        <v>33</v>
      </c>
      <c r="C26" s="67" t="s">
        <v>33</v>
      </c>
      <c r="D26" s="57" t="s">
        <v>27</v>
      </c>
      <c r="E26" s="67" t="s">
        <v>33</v>
      </c>
      <c r="F26" s="57" t="s">
        <v>27</v>
      </c>
      <c r="G26" s="67" t="s">
        <v>33</v>
      </c>
      <c r="H26" s="67" t="s">
        <v>33</v>
      </c>
      <c r="I26" s="67" t="s">
        <v>33</v>
      </c>
      <c r="J26" s="67" t="s">
        <v>33</v>
      </c>
      <c r="K26" s="67" t="s">
        <v>33</v>
      </c>
      <c r="L26" s="67" t="s">
        <v>33</v>
      </c>
      <c r="M26" s="67" t="s">
        <v>33</v>
      </c>
      <c r="N26" s="67" t="s">
        <v>33</v>
      </c>
      <c r="O26" s="59">
        <f>COUNTIF(B26:N26,"✔")</f>
        <v>2</v>
      </c>
      <c r="P26" s="53">
        <f>O26/13</f>
        <v>0.15384615384615385</v>
      </c>
      <c r="Q26" s="58" t="s">
        <v>34</v>
      </c>
      <c r="R26" s="58" t="s">
        <v>678</v>
      </c>
      <c r="S26" s="58" t="s">
        <v>595</v>
      </c>
      <c r="T26" s="58" t="s">
        <v>124</v>
      </c>
      <c r="U26" s="50" t="s">
        <v>596</v>
      </c>
    </row>
    <row r="27" spans="1:21" ht="14.5" customHeight="1">
      <c r="A27" s="57" t="s">
        <v>607</v>
      </c>
      <c r="B27" s="67" t="s">
        <v>33</v>
      </c>
      <c r="C27" s="67" t="s">
        <v>33</v>
      </c>
      <c r="D27" s="57" t="s">
        <v>27</v>
      </c>
      <c r="E27" s="67" t="s">
        <v>33</v>
      </c>
      <c r="F27" s="67" t="s">
        <v>33</v>
      </c>
      <c r="G27" s="67" t="s">
        <v>33</v>
      </c>
      <c r="H27" s="67" t="s">
        <v>33</v>
      </c>
      <c r="I27" s="67" t="s">
        <v>33</v>
      </c>
      <c r="J27" s="67" t="s">
        <v>33</v>
      </c>
      <c r="K27" s="67" t="s">
        <v>33</v>
      </c>
      <c r="L27" s="67" t="s">
        <v>33</v>
      </c>
      <c r="M27" s="67" t="s">
        <v>33</v>
      </c>
      <c r="N27" s="67" t="s">
        <v>33</v>
      </c>
      <c r="O27" s="59">
        <f>COUNTIF(B27:N27,"✔")</f>
        <v>1</v>
      </c>
      <c r="P27" s="53">
        <f>O27/13</f>
        <v>7.6923076923076927E-2</v>
      </c>
      <c r="Q27" s="58" t="s">
        <v>34</v>
      </c>
      <c r="R27" s="58" t="s">
        <v>29</v>
      </c>
      <c r="S27" s="58" t="s">
        <v>694</v>
      </c>
      <c r="T27" s="58" t="s">
        <v>300</v>
      </c>
      <c r="U27" s="58" t="s">
        <v>301</v>
      </c>
    </row>
    <row r="28" spans="1:21" s="73" customFormat="1" ht="14.5" customHeight="1">
      <c r="A28" s="75" t="s">
        <v>608</v>
      </c>
      <c r="B28" s="78" t="s">
        <v>332</v>
      </c>
      <c r="C28" s="78" t="s">
        <v>332</v>
      </c>
      <c r="D28" s="78" t="s">
        <v>332</v>
      </c>
      <c r="E28" s="78" t="s">
        <v>332</v>
      </c>
      <c r="F28" s="78" t="s">
        <v>332</v>
      </c>
      <c r="G28" s="78" t="s">
        <v>332</v>
      </c>
      <c r="H28" s="78" t="s">
        <v>332</v>
      </c>
      <c r="I28" s="78" t="s">
        <v>332</v>
      </c>
      <c r="J28" s="78" t="s">
        <v>332</v>
      </c>
      <c r="K28" s="78" t="s">
        <v>332</v>
      </c>
      <c r="L28" s="78" t="s">
        <v>332</v>
      </c>
      <c r="M28" s="78"/>
      <c r="N28" s="78"/>
      <c r="O28" s="76"/>
      <c r="P28" s="77"/>
      <c r="Q28" s="79"/>
      <c r="R28" s="79"/>
      <c r="S28" s="79"/>
      <c r="T28" s="79"/>
      <c r="U28" s="79"/>
    </row>
    <row r="29" spans="1:21" ht="14.5" customHeight="1">
      <c r="A29" s="57" t="s">
        <v>609</v>
      </c>
      <c r="B29" s="67" t="s">
        <v>33</v>
      </c>
      <c r="C29" s="67" t="s">
        <v>33</v>
      </c>
      <c r="D29" s="67" t="s">
        <v>33</v>
      </c>
      <c r="E29" s="67" t="s">
        <v>33</v>
      </c>
      <c r="F29" s="67" t="s">
        <v>33</v>
      </c>
      <c r="G29" s="57" t="s">
        <v>27</v>
      </c>
      <c r="H29" s="67" t="s">
        <v>33</v>
      </c>
      <c r="I29" s="67" t="s">
        <v>33</v>
      </c>
      <c r="J29" s="67" t="s">
        <v>33</v>
      </c>
      <c r="K29" s="67" t="s">
        <v>33</v>
      </c>
      <c r="L29" s="67" t="s">
        <v>33</v>
      </c>
      <c r="M29" s="57" t="s">
        <v>27</v>
      </c>
      <c r="N29" s="67" t="s">
        <v>33</v>
      </c>
      <c r="O29" s="59">
        <f>COUNTIF(B29:N29,"✔")</f>
        <v>2</v>
      </c>
      <c r="P29" s="53">
        <f>O29/13</f>
        <v>0.15384615384615385</v>
      </c>
      <c r="Q29" s="58" t="s">
        <v>34</v>
      </c>
      <c r="R29" s="58" t="s">
        <v>679</v>
      </c>
      <c r="S29" s="58" t="s">
        <v>314</v>
      </c>
      <c r="T29" s="58" t="s">
        <v>589</v>
      </c>
      <c r="U29" s="58" t="s">
        <v>531</v>
      </c>
    </row>
    <row r="30" spans="1:21" ht="14.5" customHeight="1">
      <c r="A30" s="57" t="s">
        <v>610</v>
      </c>
      <c r="B30" s="67" t="s">
        <v>33</v>
      </c>
      <c r="C30" s="67" t="s">
        <v>33</v>
      </c>
      <c r="D30" s="57" t="s">
        <v>27</v>
      </c>
      <c r="E30" s="67" t="s">
        <v>33</v>
      </c>
      <c r="F30" s="67" t="s">
        <v>33</v>
      </c>
      <c r="G30" s="67" t="s">
        <v>33</v>
      </c>
      <c r="H30" s="67" t="s">
        <v>33</v>
      </c>
      <c r="I30" s="67" t="s">
        <v>33</v>
      </c>
      <c r="J30" s="67" t="s">
        <v>33</v>
      </c>
      <c r="K30" s="67" t="s">
        <v>33</v>
      </c>
      <c r="L30" s="67" t="s">
        <v>33</v>
      </c>
      <c r="M30" s="57" t="s">
        <v>27</v>
      </c>
      <c r="N30" s="67" t="s">
        <v>33</v>
      </c>
      <c r="O30" s="59">
        <f>COUNTIF(B30:N30,"✔")</f>
        <v>2</v>
      </c>
      <c r="P30" s="53">
        <f>O30/13</f>
        <v>0.15384615384615385</v>
      </c>
      <c r="Q30" s="58" t="s">
        <v>34</v>
      </c>
      <c r="R30" s="58" t="s">
        <v>29</v>
      </c>
      <c r="S30" s="58" t="s">
        <v>50</v>
      </c>
      <c r="T30" s="58" t="s">
        <v>51</v>
      </c>
      <c r="U30" s="58" t="s">
        <v>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DCA1-CCBE-47D6-A65C-21200C1F70E3}">
  <sheetPr codeName="Sheet12"/>
  <dimension ref="A1:U37"/>
  <sheetViews>
    <sheetView zoomScale="64" zoomScaleNormal="64" workbookViewId="0">
      <pane xSplit="1" topLeftCell="P1" activePane="topRight" state="frozen"/>
      <selection activeCell="Q37" sqref="Q37"/>
      <selection pane="topRight" activeCell="R19" sqref="R19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54" t="s">
        <v>611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6" t="s">
        <v>22</v>
      </c>
      <c r="S1" s="55" t="s">
        <v>23</v>
      </c>
      <c r="T1" s="55" t="s">
        <v>24</v>
      </c>
      <c r="U1" s="55" t="s">
        <v>25</v>
      </c>
    </row>
    <row r="2" spans="1:21" ht="14.5" customHeight="1">
      <c r="A2" s="57" t="s">
        <v>612</v>
      </c>
      <c r="B2" s="60" t="s">
        <v>33</v>
      </c>
      <c r="C2" s="60" t="s">
        <v>33</v>
      </c>
      <c r="D2" s="60" t="s">
        <v>33</v>
      </c>
      <c r="E2" s="60" t="s">
        <v>33</v>
      </c>
      <c r="F2" s="60" t="s">
        <v>33</v>
      </c>
      <c r="G2" s="59" t="s">
        <v>27</v>
      </c>
      <c r="H2" s="60" t="s">
        <v>33</v>
      </c>
      <c r="I2" s="59" t="s">
        <v>27</v>
      </c>
      <c r="J2" s="60" t="s">
        <v>33</v>
      </c>
      <c r="K2" s="60" t="s">
        <v>33</v>
      </c>
      <c r="L2" s="60" t="s">
        <v>33</v>
      </c>
      <c r="M2" s="59" t="s">
        <v>27</v>
      </c>
      <c r="N2" s="60" t="s">
        <v>33</v>
      </c>
      <c r="O2" s="59">
        <f>COUNTIF(B2:N2,"✔")</f>
        <v>3</v>
      </c>
      <c r="P2" s="53">
        <f>O2/13</f>
        <v>0.23076923076923078</v>
      </c>
      <c r="Q2" s="58"/>
      <c r="R2" s="85" t="s">
        <v>152</v>
      </c>
      <c r="S2" s="58"/>
      <c r="T2" s="58"/>
      <c r="U2" s="58"/>
    </row>
    <row r="3" spans="1:21" s="73" customFormat="1" ht="14.5" customHeight="1">
      <c r="A3" s="75" t="s">
        <v>613</v>
      </c>
      <c r="B3" s="76" t="s">
        <v>332</v>
      </c>
      <c r="C3" s="76" t="s">
        <v>332</v>
      </c>
      <c r="D3" s="76" t="s">
        <v>332</v>
      </c>
      <c r="E3" s="76" t="s">
        <v>332</v>
      </c>
      <c r="F3" s="76" t="s">
        <v>332</v>
      </c>
      <c r="G3" s="76" t="s">
        <v>332</v>
      </c>
      <c r="H3" s="76" t="s">
        <v>332</v>
      </c>
      <c r="I3" s="76" t="s">
        <v>332</v>
      </c>
      <c r="J3" s="76" t="s">
        <v>332</v>
      </c>
      <c r="K3" s="76" t="s">
        <v>332</v>
      </c>
      <c r="L3" s="76" t="s">
        <v>332</v>
      </c>
      <c r="M3" s="76" t="s">
        <v>332</v>
      </c>
      <c r="N3" s="76" t="s">
        <v>332</v>
      </c>
      <c r="O3" s="76"/>
      <c r="P3" s="77"/>
      <c r="Q3" s="79"/>
      <c r="R3" s="86"/>
      <c r="S3" s="79"/>
      <c r="T3" s="79"/>
      <c r="U3" s="79"/>
    </row>
    <row r="4" spans="1:21" ht="14.5" customHeight="1">
      <c r="A4" s="57" t="s">
        <v>614</v>
      </c>
      <c r="B4" s="59" t="s">
        <v>27</v>
      </c>
      <c r="C4" s="59" t="s">
        <v>27</v>
      </c>
      <c r="D4" s="60" t="s">
        <v>33</v>
      </c>
      <c r="E4" s="60" t="s">
        <v>33</v>
      </c>
      <c r="F4" s="59" t="s">
        <v>27</v>
      </c>
      <c r="G4" s="60" t="s">
        <v>33</v>
      </c>
      <c r="H4" s="60" t="s">
        <v>33</v>
      </c>
      <c r="I4" s="60" t="s">
        <v>33</v>
      </c>
      <c r="J4" s="59" t="s">
        <v>27</v>
      </c>
      <c r="K4" s="59" t="s">
        <v>27</v>
      </c>
      <c r="L4" s="59" t="s">
        <v>27</v>
      </c>
      <c r="M4" s="59" t="s">
        <v>27</v>
      </c>
      <c r="N4" s="59" t="s">
        <v>27</v>
      </c>
      <c r="O4" s="59">
        <f t="shared" ref="O4:O37" si="0">COUNTIF(B4:N4,"✔")</f>
        <v>8</v>
      </c>
      <c r="P4" s="53">
        <f>O4/13</f>
        <v>0.61538461538461542</v>
      </c>
      <c r="Q4" s="58" t="s">
        <v>34</v>
      </c>
      <c r="R4" s="85" t="s">
        <v>29</v>
      </c>
      <c r="S4" s="58" t="s">
        <v>66</v>
      </c>
      <c r="T4" s="58" t="s">
        <v>320</v>
      </c>
      <c r="U4" s="58" t="s">
        <v>321</v>
      </c>
    </row>
    <row r="5" spans="1:21" ht="14.5" customHeight="1">
      <c r="A5" s="57"/>
      <c r="B5" s="59"/>
      <c r="C5" s="59"/>
      <c r="D5" s="60"/>
      <c r="E5" s="60"/>
      <c r="F5" s="59"/>
      <c r="G5" s="60"/>
      <c r="H5" s="60"/>
      <c r="I5" s="60"/>
      <c r="J5" s="59"/>
      <c r="K5" s="59"/>
      <c r="L5" s="59"/>
      <c r="M5" s="60"/>
      <c r="N5" s="59"/>
      <c r="O5" s="59"/>
      <c r="P5" s="53"/>
      <c r="Q5" s="58" t="s">
        <v>34</v>
      </c>
      <c r="R5" s="85" t="s">
        <v>29</v>
      </c>
      <c r="S5" s="58" t="s">
        <v>66</v>
      </c>
      <c r="T5" s="58" t="s">
        <v>124</v>
      </c>
      <c r="U5" s="58" t="s">
        <v>303</v>
      </c>
    </row>
    <row r="6" spans="1:21" ht="14.5" customHeight="1">
      <c r="A6" s="57"/>
      <c r="B6" s="59"/>
      <c r="C6" s="59"/>
      <c r="D6" s="60"/>
      <c r="E6" s="60"/>
      <c r="F6" s="59"/>
      <c r="G6" s="60"/>
      <c r="H6" s="60"/>
      <c r="I6" s="60"/>
      <c r="J6" s="59"/>
      <c r="K6" s="59"/>
      <c r="L6" s="59"/>
      <c r="M6" s="60"/>
      <c r="N6" s="59"/>
      <c r="O6" s="59"/>
      <c r="P6" s="53"/>
      <c r="Q6" s="58" t="s">
        <v>34</v>
      </c>
      <c r="R6" s="85" t="s">
        <v>29</v>
      </c>
      <c r="S6" s="58" t="s">
        <v>66</v>
      </c>
      <c r="T6" s="58" t="s">
        <v>67</v>
      </c>
      <c r="U6" s="58" t="s">
        <v>68</v>
      </c>
    </row>
    <row r="7" spans="1:21" ht="14.5" customHeight="1">
      <c r="A7" s="57"/>
      <c r="B7" s="59"/>
      <c r="C7" s="59"/>
      <c r="D7" s="60"/>
      <c r="E7" s="60"/>
      <c r="F7" s="59"/>
      <c r="G7" s="60"/>
      <c r="H7" s="60"/>
      <c r="I7" s="60"/>
      <c r="J7" s="59"/>
      <c r="K7" s="59"/>
      <c r="L7" s="59"/>
      <c r="M7" s="60"/>
      <c r="N7" s="59"/>
      <c r="O7" s="59"/>
      <c r="P7" s="53"/>
      <c r="Q7" s="58" t="s">
        <v>34</v>
      </c>
      <c r="R7" s="85" t="s">
        <v>29</v>
      </c>
      <c r="S7" s="58" t="s">
        <v>66</v>
      </c>
      <c r="T7" s="58" t="s">
        <v>69</v>
      </c>
      <c r="U7" s="58" t="s">
        <v>68</v>
      </c>
    </row>
    <row r="8" spans="1:21" ht="14.5" customHeight="1">
      <c r="A8" s="57" t="s">
        <v>615</v>
      </c>
      <c r="B8" s="59" t="s">
        <v>27</v>
      </c>
      <c r="C8" s="60" t="s">
        <v>33</v>
      </c>
      <c r="D8" s="59" t="s">
        <v>27</v>
      </c>
      <c r="E8" s="59" t="s">
        <v>27</v>
      </c>
      <c r="F8" s="59" t="s">
        <v>27</v>
      </c>
      <c r="G8" s="60" t="s">
        <v>33</v>
      </c>
      <c r="H8" s="60" t="s">
        <v>33</v>
      </c>
      <c r="I8" s="60" t="s">
        <v>33</v>
      </c>
      <c r="J8" s="59" t="s">
        <v>27</v>
      </c>
      <c r="K8" s="59" t="s">
        <v>27</v>
      </c>
      <c r="L8" s="59" t="s">
        <v>27</v>
      </c>
      <c r="M8" s="60" t="s">
        <v>33</v>
      </c>
      <c r="N8" s="59" t="s">
        <v>27</v>
      </c>
      <c r="O8" s="59">
        <f t="shared" si="0"/>
        <v>8</v>
      </c>
      <c r="P8" s="53">
        <f>O8/13</f>
        <v>0.61538461538461542</v>
      </c>
      <c r="Q8" s="58"/>
      <c r="R8" s="85" t="s">
        <v>33</v>
      </c>
      <c r="S8" s="58"/>
      <c r="T8" s="58"/>
      <c r="U8" s="58"/>
    </row>
    <row r="9" spans="1:21" ht="14.5" customHeight="1">
      <c r="A9" s="57" t="s">
        <v>616</v>
      </c>
      <c r="B9" s="59" t="s">
        <v>27</v>
      </c>
      <c r="C9" s="59" t="s">
        <v>27</v>
      </c>
      <c r="D9" s="59" t="s">
        <v>27</v>
      </c>
      <c r="E9" s="59" t="s">
        <v>27</v>
      </c>
      <c r="F9" s="59" t="s">
        <v>27</v>
      </c>
      <c r="G9" s="60" t="s">
        <v>33</v>
      </c>
      <c r="H9" s="60" t="s">
        <v>33</v>
      </c>
      <c r="I9" s="60" t="s">
        <v>33</v>
      </c>
      <c r="J9" s="59" t="s">
        <v>27</v>
      </c>
      <c r="K9" s="60" t="s">
        <v>33</v>
      </c>
      <c r="L9" s="60" t="s">
        <v>33</v>
      </c>
      <c r="M9" s="60" t="s">
        <v>33</v>
      </c>
      <c r="N9" s="59" t="s">
        <v>27</v>
      </c>
      <c r="O9" s="59">
        <f t="shared" si="0"/>
        <v>7</v>
      </c>
      <c r="P9" s="53">
        <f t="shared" ref="P9:P11" si="1">O9/13</f>
        <v>0.53846153846153844</v>
      </c>
      <c r="Q9" s="58" t="s">
        <v>34</v>
      </c>
      <c r="R9" s="85" t="s">
        <v>29</v>
      </c>
      <c r="S9" s="58" t="s">
        <v>66</v>
      </c>
      <c r="T9" s="58" t="s">
        <v>67</v>
      </c>
      <c r="U9" s="58" t="s">
        <v>68</v>
      </c>
    </row>
    <row r="10" spans="1:21" ht="14.5" customHeight="1">
      <c r="A10" s="57" t="s">
        <v>617</v>
      </c>
      <c r="B10" s="59" t="s">
        <v>27</v>
      </c>
      <c r="C10" s="60" t="s">
        <v>33</v>
      </c>
      <c r="D10" s="59" t="s">
        <v>27</v>
      </c>
      <c r="E10" s="59" t="s">
        <v>27</v>
      </c>
      <c r="F10" s="59" t="s">
        <v>27</v>
      </c>
      <c r="G10" s="60" t="s">
        <v>33</v>
      </c>
      <c r="H10" s="60" t="s">
        <v>33</v>
      </c>
      <c r="I10" s="60" t="s">
        <v>33</v>
      </c>
      <c r="J10" s="59" t="s">
        <v>27</v>
      </c>
      <c r="K10" s="60" t="s">
        <v>33</v>
      </c>
      <c r="L10" s="59" t="s">
        <v>27</v>
      </c>
      <c r="M10" s="59" t="s">
        <v>27</v>
      </c>
      <c r="N10" s="59" t="s">
        <v>27</v>
      </c>
      <c r="O10" s="59">
        <f t="shared" si="0"/>
        <v>8</v>
      </c>
      <c r="P10" s="53">
        <f t="shared" si="1"/>
        <v>0.61538461538461542</v>
      </c>
      <c r="Q10" s="58" t="s">
        <v>34</v>
      </c>
      <c r="R10" s="85" t="s">
        <v>29</v>
      </c>
      <c r="S10" s="58" t="s">
        <v>50</v>
      </c>
      <c r="T10" s="58" t="s">
        <v>231</v>
      </c>
      <c r="U10" s="58" t="s">
        <v>289</v>
      </c>
    </row>
    <row r="11" spans="1:21" ht="14.5" customHeight="1">
      <c r="A11" s="57" t="s">
        <v>618</v>
      </c>
      <c r="B11" s="60" t="s">
        <v>33</v>
      </c>
      <c r="C11" s="59" t="s">
        <v>27</v>
      </c>
      <c r="D11" s="59" t="s">
        <v>27</v>
      </c>
      <c r="E11" s="60" t="s">
        <v>33</v>
      </c>
      <c r="F11" s="60" t="s">
        <v>33</v>
      </c>
      <c r="G11" s="60" t="s">
        <v>33</v>
      </c>
      <c r="H11" s="60" t="s">
        <v>33</v>
      </c>
      <c r="I11" s="60" t="s">
        <v>33</v>
      </c>
      <c r="J11" s="60" t="s">
        <v>33</v>
      </c>
      <c r="K11" s="59" t="s">
        <v>27</v>
      </c>
      <c r="L11" s="60" t="s">
        <v>33</v>
      </c>
      <c r="M11" s="60" t="s">
        <v>33</v>
      </c>
      <c r="N11" s="59" t="s">
        <v>27</v>
      </c>
      <c r="O11" s="59">
        <f t="shared" si="0"/>
        <v>4</v>
      </c>
      <c r="P11" s="53">
        <f t="shared" si="1"/>
        <v>0.30769230769230771</v>
      </c>
      <c r="Q11" s="58"/>
      <c r="R11" s="85" t="s">
        <v>33</v>
      </c>
      <c r="S11" s="58"/>
      <c r="T11" s="58"/>
      <c r="U11" s="58"/>
    </row>
    <row r="12" spans="1:21" s="73" customFormat="1" ht="14.5" customHeight="1">
      <c r="A12" s="75" t="s">
        <v>619</v>
      </c>
      <c r="B12" s="76" t="s">
        <v>332</v>
      </c>
      <c r="C12" s="76" t="s">
        <v>332</v>
      </c>
      <c r="D12" s="76" t="s">
        <v>332</v>
      </c>
      <c r="E12" s="76" t="s">
        <v>332</v>
      </c>
      <c r="F12" s="76" t="s">
        <v>332</v>
      </c>
      <c r="G12" s="76" t="s">
        <v>332</v>
      </c>
      <c r="H12" s="76" t="s">
        <v>332</v>
      </c>
      <c r="I12" s="76" t="s">
        <v>332</v>
      </c>
      <c r="J12" s="76" t="s">
        <v>332</v>
      </c>
      <c r="K12" s="76" t="s">
        <v>332</v>
      </c>
      <c r="L12" s="76" t="s">
        <v>332</v>
      </c>
      <c r="M12" s="76" t="s">
        <v>332</v>
      </c>
      <c r="N12" s="76" t="s">
        <v>332</v>
      </c>
      <c r="O12" s="76"/>
      <c r="P12" s="77"/>
      <c r="Q12" s="79"/>
      <c r="R12" s="86"/>
      <c r="S12" s="79"/>
      <c r="T12" s="79"/>
      <c r="U12" s="79"/>
    </row>
    <row r="13" spans="1:21" ht="14.5" customHeight="1">
      <c r="A13" s="57" t="s">
        <v>620</v>
      </c>
      <c r="B13" s="59" t="s">
        <v>27</v>
      </c>
      <c r="C13" s="59" t="s">
        <v>27</v>
      </c>
      <c r="D13" s="59" t="s">
        <v>27</v>
      </c>
      <c r="E13" s="59" t="s">
        <v>27</v>
      </c>
      <c r="F13" s="59" t="s">
        <v>27</v>
      </c>
      <c r="G13" s="60" t="s">
        <v>33</v>
      </c>
      <c r="H13" s="60" t="s">
        <v>33</v>
      </c>
      <c r="I13" s="60" t="s">
        <v>33</v>
      </c>
      <c r="J13" s="59" t="s">
        <v>27</v>
      </c>
      <c r="K13" s="59" t="s">
        <v>27</v>
      </c>
      <c r="L13" s="59" t="s">
        <v>27</v>
      </c>
      <c r="M13" s="59" t="s">
        <v>27</v>
      </c>
      <c r="N13" s="59" t="s">
        <v>27</v>
      </c>
      <c r="O13" s="59">
        <f t="shared" si="0"/>
        <v>10</v>
      </c>
      <c r="P13" s="53">
        <f>O13/13</f>
        <v>0.76923076923076927</v>
      </c>
      <c r="Q13" s="58" t="s">
        <v>34</v>
      </c>
      <c r="R13" s="85" t="s">
        <v>265</v>
      </c>
      <c r="S13" s="58" t="s">
        <v>266</v>
      </c>
      <c r="T13" s="58" t="s">
        <v>310</v>
      </c>
      <c r="U13" s="58" t="s">
        <v>145</v>
      </c>
    </row>
    <row r="14" spans="1:21" ht="14.5" customHeight="1">
      <c r="A14" s="57" t="s">
        <v>621</v>
      </c>
      <c r="B14" s="59" t="s">
        <v>27</v>
      </c>
      <c r="C14" s="59" t="s">
        <v>27</v>
      </c>
      <c r="D14" s="60" t="s">
        <v>33</v>
      </c>
      <c r="E14" s="59" t="s">
        <v>27</v>
      </c>
      <c r="F14" s="59" t="s">
        <v>27</v>
      </c>
      <c r="G14" s="60" t="s">
        <v>33</v>
      </c>
      <c r="H14" s="60" t="s">
        <v>33</v>
      </c>
      <c r="I14" s="60" t="s">
        <v>33</v>
      </c>
      <c r="J14" s="59" t="s">
        <v>27</v>
      </c>
      <c r="K14" s="59" t="s">
        <v>27</v>
      </c>
      <c r="L14" s="59" t="s">
        <v>27</v>
      </c>
      <c r="M14" s="59" t="s">
        <v>27</v>
      </c>
      <c r="N14" s="59" t="s">
        <v>27</v>
      </c>
      <c r="O14" s="59">
        <f t="shared" si="0"/>
        <v>9</v>
      </c>
      <c r="P14" s="53">
        <f>O14/13</f>
        <v>0.69230769230769229</v>
      </c>
      <c r="Q14" s="58" t="s">
        <v>34</v>
      </c>
      <c r="R14" s="85" t="s">
        <v>37</v>
      </c>
      <c r="S14" s="58" t="s">
        <v>441</v>
      </c>
      <c r="T14" s="58" t="s">
        <v>442</v>
      </c>
      <c r="U14" s="58" t="s">
        <v>443</v>
      </c>
    </row>
    <row r="15" spans="1:21" ht="14.5" customHeight="1">
      <c r="A15" s="57" t="s">
        <v>622</v>
      </c>
      <c r="B15" s="59" t="s">
        <v>27</v>
      </c>
      <c r="C15" s="60" t="s">
        <v>33</v>
      </c>
      <c r="D15" s="59" t="s">
        <v>27</v>
      </c>
      <c r="E15" s="59" t="s">
        <v>27</v>
      </c>
      <c r="F15" s="60" t="s">
        <v>33</v>
      </c>
      <c r="G15" s="60" t="s">
        <v>33</v>
      </c>
      <c r="H15" s="60" t="s">
        <v>33</v>
      </c>
      <c r="I15" s="60" t="s">
        <v>33</v>
      </c>
      <c r="J15" s="59" t="s">
        <v>27</v>
      </c>
      <c r="K15" s="59" t="s">
        <v>27</v>
      </c>
      <c r="L15" s="59" t="s">
        <v>27</v>
      </c>
      <c r="M15" s="60" t="s">
        <v>33</v>
      </c>
      <c r="N15" s="59" t="s">
        <v>27</v>
      </c>
      <c r="O15" s="59">
        <f t="shared" si="0"/>
        <v>7</v>
      </c>
      <c r="P15" s="53">
        <f t="shared" ref="P15:P16" si="2">O15/13</f>
        <v>0.53846153846153844</v>
      </c>
      <c r="Q15" s="58" t="s">
        <v>34</v>
      </c>
      <c r="R15" s="85" t="s">
        <v>265</v>
      </c>
      <c r="S15" s="58" t="s">
        <v>266</v>
      </c>
      <c r="T15" s="58" t="s">
        <v>623</v>
      </c>
      <c r="U15" s="58" t="s">
        <v>145</v>
      </c>
    </row>
    <row r="16" spans="1:21" ht="14.5" customHeight="1">
      <c r="A16" s="57" t="s">
        <v>624</v>
      </c>
      <c r="B16" s="59" t="s">
        <v>27</v>
      </c>
      <c r="C16" s="59" t="s">
        <v>27</v>
      </c>
      <c r="D16" s="60" t="s">
        <v>33</v>
      </c>
      <c r="E16" s="60" t="s">
        <v>33</v>
      </c>
      <c r="F16" s="60" t="s">
        <v>33</v>
      </c>
      <c r="G16" s="60" t="s">
        <v>33</v>
      </c>
      <c r="H16" s="60" t="s">
        <v>33</v>
      </c>
      <c r="I16" s="60" t="s">
        <v>33</v>
      </c>
      <c r="J16" s="60" t="s">
        <v>33</v>
      </c>
      <c r="K16" s="59" t="s">
        <v>27</v>
      </c>
      <c r="L16" s="59" t="s">
        <v>27</v>
      </c>
      <c r="M16" s="59" t="s">
        <v>27</v>
      </c>
      <c r="N16" s="59" t="s">
        <v>27</v>
      </c>
      <c r="O16" s="59">
        <f t="shared" si="0"/>
        <v>6</v>
      </c>
      <c r="P16" s="53">
        <f t="shared" si="2"/>
        <v>0.46153846153846156</v>
      </c>
      <c r="Q16" s="58" t="s">
        <v>34</v>
      </c>
      <c r="R16" s="85" t="s">
        <v>29</v>
      </c>
      <c r="S16" s="58" t="s">
        <v>249</v>
      </c>
      <c r="T16" s="58" t="s">
        <v>281</v>
      </c>
      <c r="U16" s="58" t="s">
        <v>105</v>
      </c>
    </row>
    <row r="17" spans="1:21" s="73" customFormat="1" ht="14.5" customHeight="1">
      <c r="A17" s="75" t="s">
        <v>625</v>
      </c>
      <c r="B17" s="76" t="s">
        <v>332</v>
      </c>
      <c r="C17" s="76" t="s">
        <v>332</v>
      </c>
      <c r="D17" s="76" t="s">
        <v>332</v>
      </c>
      <c r="E17" s="76" t="s">
        <v>332</v>
      </c>
      <c r="F17" s="76" t="s">
        <v>332</v>
      </c>
      <c r="G17" s="76" t="s">
        <v>332</v>
      </c>
      <c r="H17" s="76" t="s">
        <v>332</v>
      </c>
      <c r="I17" s="76" t="s">
        <v>332</v>
      </c>
      <c r="J17" s="76" t="s">
        <v>332</v>
      </c>
      <c r="K17" s="76" t="s">
        <v>332</v>
      </c>
      <c r="L17" s="76" t="s">
        <v>332</v>
      </c>
      <c r="M17" s="76" t="s">
        <v>332</v>
      </c>
      <c r="N17" s="76" t="s">
        <v>332</v>
      </c>
      <c r="O17" s="76"/>
      <c r="P17" s="77"/>
      <c r="Q17" s="79"/>
      <c r="R17" s="86"/>
      <c r="S17" s="79"/>
      <c r="T17" s="79"/>
      <c r="U17" s="79"/>
    </row>
    <row r="18" spans="1:21" ht="14.5" customHeight="1">
      <c r="A18" s="57" t="s">
        <v>626</v>
      </c>
      <c r="B18" s="60" t="s">
        <v>33</v>
      </c>
      <c r="C18" s="59" t="s">
        <v>27</v>
      </c>
      <c r="D18" s="59" t="s">
        <v>27</v>
      </c>
      <c r="E18" s="59" t="s">
        <v>27</v>
      </c>
      <c r="F18" s="59" t="s">
        <v>27</v>
      </c>
      <c r="G18" s="60" t="s">
        <v>33</v>
      </c>
      <c r="H18" s="60" t="s">
        <v>33</v>
      </c>
      <c r="I18" s="60" t="s">
        <v>33</v>
      </c>
      <c r="J18" s="59" t="s">
        <v>27</v>
      </c>
      <c r="K18" s="59" t="s">
        <v>27</v>
      </c>
      <c r="L18" s="59" t="s">
        <v>27</v>
      </c>
      <c r="M18" s="60" t="s">
        <v>33</v>
      </c>
      <c r="N18" s="59" t="s">
        <v>27</v>
      </c>
      <c r="O18" s="59">
        <f t="shared" si="0"/>
        <v>8</v>
      </c>
      <c r="P18" s="53">
        <f>O18/13</f>
        <v>0.61538461538461542</v>
      </c>
      <c r="Q18" s="58" t="s">
        <v>34</v>
      </c>
      <c r="R18" s="85" t="s">
        <v>265</v>
      </c>
      <c r="S18" s="58" t="s">
        <v>421</v>
      </c>
      <c r="T18" s="58" t="s">
        <v>397</v>
      </c>
      <c r="U18" s="58" t="s">
        <v>145</v>
      </c>
    </row>
    <row r="19" spans="1:21" ht="14.5" customHeight="1">
      <c r="A19" s="57" t="s">
        <v>627</v>
      </c>
      <c r="B19" s="60" t="s">
        <v>33</v>
      </c>
      <c r="C19" s="60" t="s">
        <v>33</v>
      </c>
      <c r="D19" s="59" t="s">
        <v>27</v>
      </c>
      <c r="E19" s="59" t="s">
        <v>27</v>
      </c>
      <c r="F19" s="60" t="s">
        <v>33</v>
      </c>
      <c r="G19" s="60" t="s">
        <v>33</v>
      </c>
      <c r="H19" s="60" t="s">
        <v>33</v>
      </c>
      <c r="I19" s="59" t="s">
        <v>27</v>
      </c>
      <c r="J19" s="59" t="s">
        <v>27</v>
      </c>
      <c r="K19" s="59" t="s">
        <v>27</v>
      </c>
      <c r="L19" s="59" t="s">
        <v>27</v>
      </c>
      <c r="M19" s="60" t="s">
        <v>33</v>
      </c>
      <c r="N19" s="59" t="s">
        <v>27</v>
      </c>
      <c r="O19" s="59">
        <f t="shared" si="0"/>
        <v>7</v>
      </c>
      <c r="P19" s="53">
        <f>O19/13</f>
        <v>0.53846153846153844</v>
      </c>
      <c r="Q19" s="58" t="s">
        <v>34</v>
      </c>
      <c r="R19" s="85" t="s">
        <v>265</v>
      </c>
      <c r="S19" s="58" t="s">
        <v>285</v>
      </c>
      <c r="T19" s="58" t="s">
        <v>397</v>
      </c>
      <c r="U19" s="58" t="s">
        <v>145</v>
      </c>
    </row>
    <row r="20" spans="1:21" ht="14.5" customHeight="1">
      <c r="A20" s="57" t="s">
        <v>628</v>
      </c>
      <c r="B20" s="60" t="s">
        <v>33</v>
      </c>
      <c r="C20" s="60" t="s">
        <v>33</v>
      </c>
      <c r="D20" s="59" t="s">
        <v>27</v>
      </c>
      <c r="E20" s="59" t="s">
        <v>27</v>
      </c>
      <c r="F20" s="60" t="s">
        <v>33</v>
      </c>
      <c r="G20" s="60" t="s">
        <v>33</v>
      </c>
      <c r="H20" s="60" t="s">
        <v>33</v>
      </c>
      <c r="I20" s="59" t="s">
        <v>27</v>
      </c>
      <c r="J20" s="59" t="s">
        <v>27</v>
      </c>
      <c r="K20" s="59" t="s">
        <v>27</v>
      </c>
      <c r="L20" s="59" t="s">
        <v>27</v>
      </c>
      <c r="M20" s="60" t="s">
        <v>33</v>
      </c>
      <c r="N20" s="59" t="s">
        <v>27</v>
      </c>
      <c r="O20" s="59">
        <f>COUNTIF(B20:N20,"✔")</f>
        <v>7</v>
      </c>
      <c r="P20" s="53">
        <f t="shared" ref="P20:P24" si="3">O20/13</f>
        <v>0.53846153846153844</v>
      </c>
      <c r="Q20" s="58" t="s">
        <v>34</v>
      </c>
      <c r="R20" s="85" t="s">
        <v>265</v>
      </c>
      <c r="S20" s="58" t="s">
        <v>285</v>
      </c>
      <c r="T20" s="58" t="s">
        <v>424</v>
      </c>
      <c r="U20" s="58" t="s">
        <v>145</v>
      </c>
    </row>
    <row r="21" spans="1:21" ht="14.5" customHeight="1">
      <c r="A21" s="57" t="s">
        <v>629</v>
      </c>
      <c r="B21" s="60" t="s">
        <v>33</v>
      </c>
      <c r="C21" s="60" t="s">
        <v>33</v>
      </c>
      <c r="D21" s="59" t="s">
        <v>27</v>
      </c>
      <c r="E21" s="59" t="s">
        <v>27</v>
      </c>
      <c r="F21" s="59" t="s">
        <v>27</v>
      </c>
      <c r="G21" s="60" t="s">
        <v>33</v>
      </c>
      <c r="H21" s="60" t="s">
        <v>33</v>
      </c>
      <c r="I21" s="60" t="s">
        <v>33</v>
      </c>
      <c r="J21" s="59" t="s">
        <v>27</v>
      </c>
      <c r="K21" s="60" t="s">
        <v>33</v>
      </c>
      <c r="L21" s="59" t="s">
        <v>27</v>
      </c>
      <c r="M21" s="60" t="s">
        <v>33</v>
      </c>
      <c r="N21" s="59" t="s">
        <v>27</v>
      </c>
      <c r="O21" s="59">
        <f t="shared" si="0"/>
        <v>6</v>
      </c>
      <c r="P21" s="53">
        <f t="shared" si="3"/>
        <v>0.46153846153846156</v>
      </c>
      <c r="Q21" s="58" t="s">
        <v>34</v>
      </c>
      <c r="R21" s="85" t="s">
        <v>265</v>
      </c>
      <c r="S21" s="58" t="s">
        <v>266</v>
      </c>
      <c r="T21" s="58" t="s">
        <v>397</v>
      </c>
      <c r="U21" s="58" t="s">
        <v>145</v>
      </c>
    </row>
    <row r="22" spans="1:21" ht="14.5" customHeight="1">
      <c r="A22" s="57" t="s">
        <v>630</v>
      </c>
      <c r="B22" s="60" t="s">
        <v>33</v>
      </c>
      <c r="C22" s="60" t="s">
        <v>33</v>
      </c>
      <c r="D22" s="59" t="s">
        <v>27</v>
      </c>
      <c r="E22" s="59" t="s">
        <v>27</v>
      </c>
      <c r="F22" s="60" t="s">
        <v>33</v>
      </c>
      <c r="G22" s="60" t="s">
        <v>33</v>
      </c>
      <c r="H22" s="60" t="s">
        <v>33</v>
      </c>
      <c r="I22" s="60" t="s">
        <v>33</v>
      </c>
      <c r="J22" s="59" t="s">
        <v>27</v>
      </c>
      <c r="K22" s="60" t="s">
        <v>33</v>
      </c>
      <c r="L22" s="59" t="s">
        <v>27</v>
      </c>
      <c r="M22" s="60" t="s">
        <v>33</v>
      </c>
      <c r="N22" s="59" t="s">
        <v>27</v>
      </c>
      <c r="O22" s="59">
        <f t="shared" si="0"/>
        <v>5</v>
      </c>
      <c r="P22" s="53">
        <f t="shared" si="3"/>
        <v>0.38461538461538464</v>
      </c>
      <c r="Q22" s="58" t="s">
        <v>34</v>
      </c>
      <c r="R22" s="85" t="s">
        <v>265</v>
      </c>
      <c r="S22" s="58" t="s">
        <v>285</v>
      </c>
      <c r="T22" s="58" t="s">
        <v>424</v>
      </c>
      <c r="U22" s="58" t="s">
        <v>145</v>
      </c>
    </row>
    <row r="23" spans="1:21" ht="14.5" customHeight="1">
      <c r="A23" s="57" t="s">
        <v>631</v>
      </c>
      <c r="B23" s="60" t="s">
        <v>33</v>
      </c>
      <c r="C23" s="60" t="s">
        <v>33</v>
      </c>
      <c r="D23" s="60" t="s">
        <v>33</v>
      </c>
      <c r="E23" s="60" t="s">
        <v>33</v>
      </c>
      <c r="F23" s="59" t="s">
        <v>27</v>
      </c>
      <c r="G23" s="60" t="s">
        <v>33</v>
      </c>
      <c r="H23" s="60" t="s">
        <v>33</v>
      </c>
      <c r="I23" s="60" t="s">
        <v>33</v>
      </c>
      <c r="J23" s="60" t="s">
        <v>33</v>
      </c>
      <c r="K23" s="59" t="s">
        <v>27</v>
      </c>
      <c r="L23" s="60" t="s">
        <v>33</v>
      </c>
      <c r="M23" s="60" t="s">
        <v>33</v>
      </c>
      <c r="N23" s="59" t="s">
        <v>27</v>
      </c>
      <c r="O23" s="59">
        <f t="shared" si="0"/>
        <v>3</v>
      </c>
      <c r="P23" s="53">
        <f t="shared" si="3"/>
        <v>0.23076923076923078</v>
      </c>
      <c r="Q23" s="58" t="s">
        <v>34</v>
      </c>
      <c r="R23" s="85" t="s">
        <v>265</v>
      </c>
      <c r="S23" s="58" t="s">
        <v>421</v>
      </c>
      <c r="T23" s="58" t="s">
        <v>397</v>
      </c>
      <c r="U23" s="58" t="s">
        <v>145</v>
      </c>
    </row>
    <row r="24" spans="1:21" ht="14.5" customHeight="1">
      <c r="A24" s="57" t="s">
        <v>632</v>
      </c>
      <c r="B24" s="60" t="s">
        <v>33</v>
      </c>
      <c r="C24" s="60" t="s">
        <v>33</v>
      </c>
      <c r="D24" s="59" t="s">
        <v>27</v>
      </c>
      <c r="E24" s="59" t="s">
        <v>27</v>
      </c>
      <c r="F24" s="60" t="s">
        <v>33</v>
      </c>
      <c r="G24" s="60" t="s">
        <v>33</v>
      </c>
      <c r="H24" s="60" t="s">
        <v>33</v>
      </c>
      <c r="I24" s="60" t="s">
        <v>33</v>
      </c>
      <c r="J24" s="60" t="s">
        <v>33</v>
      </c>
      <c r="K24" s="60" t="s">
        <v>33</v>
      </c>
      <c r="L24" s="60" t="s">
        <v>33</v>
      </c>
      <c r="M24" s="60" t="s">
        <v>33</v>
      </c>
      <c r="N24" s="60" t="s">
        <v>33</v>
      </c>
      <c r="O24" s="59">
        <f t="shared" si="0"/>
        <v>2</v>
      </c>
      <c r="P24" s="53">
        <f t="shared" si="3"/>
        <v>0.15384615384615385</v>
      </c>
      <c r="Q24" s="58" t="s">
        <v>34</v>
      </c>
      <c r="R24" s="85" t="s">
        <v>29</v>
      </c>
      <c r="S24" s="58" t="s">
        <v>50</v>
      </c>
      <c r="T24" s="58" t="s">
        <v>231</v>
      </c>
      <c r="U24" s="58" t="s">
        <v>289</v>
      </c>
    </row>
    <row r="25" spans="1:21" s="73" customFormat="1" ht="14.5" customHeight="1">
      <c r="A25" s="75" t="s">
        <v>633</v>
      </c>
      <c r="B25" s="76" t="s">
        <v>332</v>
      </c>
      <c r="C25" s="76" t="s">
        <v>332</v>
      </c>
      <c r="D25" s="76" t="s">
        <v>332</v>
      </c>
      <c r="E25" s="76" t="s">
        <v>332</v>
      </c>
      <c r="F25" s="76" t="s">
        <v>332</v>
      </c>
      <c r="G25" s="76" t="s">
        <v>332</v>
      </c>
      <c r="H25" s="76" t="s">
        <v>332</v>
      </c>
      <c r="I25" s="76" t="s">
        <v>332</v>
      </c>
      <c r="J25" s="76" t="s">
        <v>332</v>
      </c>
      <c r="K25" s="76" t="s">
        <v>332</v>
      </c>
      <c r="L25" s="76" t="s">
        <v>332</v>
      </c>
      <c r="M25" s="76" t="s">
        <v>332</v>
      </c>
      <c r="N25" s="76" t="s">
        <v>332</v>
      </c>
      <c r="O25" s="76"/>
      <c r="P25" s="77"/>
      <c r="Q25" s="79"/>
      <c r="R25" s="86"/>
      <c r="S25" s="79"/>
      <c r="T25" s="79"/>
      <c r="U25" s="79"/>
    </row>
    <row r="26" spans="1:21" ht="14.5" customHeight="1">
      <c r="A26" s="57" t="s">
        <v>634</v>
      </c>
      <c r="B26" s="60" t="s">
        <v>33</v>
      </c>
      <c r="C26" s="59" t="s">
        <v>27</v>
      </c>
      <c r="D26" s="60" t="s">
        <v>33</v>
      </c>
      <c r="E26" s="59" t="s">
        <v>27</v>
      </c>
      <c r="F26" s="59" t="s">
        <v>27</v>
      </c>
      <c r="G26" s="60" t="s">
        <v>33</v>
      </c>
      <c r="H26" s="60" t="s">
        <v>33</v>
      </c>
      <c r="I26" s="60" t="s">
        <v>33</v>
      </c>
      <c r="J26" s="60" t="s">
        <v>33</v>
      </c>
      <c r="K26" s="59" t="s">
        <v>27</v>
      </c>
      <c r="L26" s="60" t="s">
        <v>33</v>
      </c>
      <c r="M26" s="60" t="s">
        <v>33</v>
      </c>
      <c r="N26" s="59" t="s">
        <v>27</v>
      </c>
      <c r="O26" s="59">
        <f t="shared" si="0"/>
        <v>5</v>
      </c>
      <c r="P26" s="53">
        <f>O26/13</f>
        <v>0.38461538461538464</v>
      </c>
      <c r="Q26" s="61"/>
      <c r="R26" s="61" t="s">
        <v>33</v>
      </c>
      <c r="S26" s="61"/>
      <c r="T26" s="61"/>
      <c r="U26" s="61"/>
    </row>
    <row r="27" spans="1:21" ht="14.5" customHeight="1">
      <c r="A27" s="57" t="s">
        <v>635</v>
      </c>
      <c r="B27" s="60" t="s">
        <v>33</v>
      </c>
      <c r="C27" s="60" t="s">
        <v>33</v>
      </c>
      <c r="D27" s="60" t="s">
        <v>33</v>
      </c>
      <c r="E27" s="60" t="s">
        <v>33</v>
      </c>
      <c r="F27" s="60" t="s">
        <v>33</v>
      </c>
      <c r="G27" s="60" t="s">
        <v>33</v>
      </c>
      <c r="H27" s="60" t="s">
        <v>33</v>
      </c>
      <c r="I27" s="60" t="s">
        <v>33</v>
      </c>
      <c r="J27" s="60" t="s">
        <v>33</v>
      </c>
      <c r="K27" s="59" t="s">
        <v>27</v>
      </c>
      <c r="L27" s="59" t="s">
        <v>27</v>
      </c>
      <c r="M27" s="60" t="s">
        <v>33</v>
      </c>
      <c r="N27" s="59" t="s">
        <v>27</v>
      </c>
      <c r="O27" s="59">
        <f t="shared" si="0"/>
        <v>3</v>
      </c>
      <c r="P27" s="53">
        <f t="shared" ref="P27:P30" si="4">O27/13</f>
        <v>0.23076923076923078</v>
      </c>
      <c r="Q27" s="61"/>
      <c r="R27" s="61" t="s">
        <v>33</v>
      </c>
      <c r="S27" s="61"/>
      <c r="T27" s="61"/>
      <c r="U27" s="61"/>
    </row>
    <row r="28" spans="1:21" ht="14.5" customHeight="1">
      <c r="A28" s="57" t="s">
        <v>636</v>
      </c>
      <c r="B28" s="60" t="s">
        <v>33</v>
      </c>
      <c r="C28" s="60" t="s">
        <v>33</v>
      </c>
      <c r="D28" s="60" t="s">
        <v>33</v>
      </c>
      <c r="E28" s="60" t="s">
        <v>33</v>
      </c>
      <c r="F28" s="60" t="s">
        <v>33</v>
      </c>
      <c r="G28" s="60" t="s">
        <v>33</v>
      </c>
      <c r="H28" s="60" t="s">
        <v>33</v>
      </c>
      <c r="I28" s="59" t="s">
        <v>27</v>
      </c>
      <c r="J28" s="59" t="s">
        <v>27</v>
      </c>
      <c r="K28" s="60" t="s">
        <v>33</v>
      </c>
      <c r="L28" s="60" t="s">
        <v>33</v>
      </c>
      <c r="M28" s="60" t="s">
        <v>33</v>
      </c>
      <c r="N28" s="60" t="s">
        <v>33</v>
      </c>
      <c r="O28" s="59">
        <f t="shared" si="0"/>
        <v>2</v>
      </c>
      <c r="P28" s="53">
        <f t="shared" si="4"/>
        <v>0.15384615384615385</v>
      </c>
      <c r="Q28" s="61"/>
      <c r="R28" s="61" t="s">
        <v>33</v>
      </c>
      <c r="S28" s="61"/>
      <c r="T28" s="61"/>
      <c r="U28" s="61"/>
    </row>
    <row r="29" spans="1:21" ht="14.5" customHeight="1">
      <c r="A29" s="57" t="s">
        <v>637</v>
      </c>
      <c r="B29" s="60" t="s">
        <v>33</v>
      </c>
      <c r="C29" s="59" t="s">
        <v>27</v>
      </c>
      <c r="D29" s="60" t="s">
        <v>33</v>
      </c>
      <c r="E29" s="60" t="s">
        <v>33</v>
      </c>
      <c r="F29" s="60" t="s">
        <v>33</v>
      </c>
      <c r="G29" s="60" t="s">
        <v>33</v>
      </c>
      <c r="H29" s="60" t="s">
        <v>33</v>
      </c>
      <c r="I29" s="60" t="s">
        <v>33</v>
      </c>
      <c r="J29" s="60" t="s">
        <v>33</v>
      </c>
      <c r="K29" s="59" t="s">
        <v>27</v>
      </c>
      <c r="L29" s="60" t="s">
        <v>33</v>
      </c>
      <c r="M29" s="60" t="s">
        <v>33</v>
      </c>
      <c r="N29" s="60" t="s">
        <v>33</v>
      </c>
      <c r="O29" s="59">
        <f t="shared" si="0"/>
        <v>2</v>
      </c>
      <c r="P29" s="53">
        <f>O29/13</f>
        <v>0.15384615384615385</v>
      </c>
      <c r="Q29" s="61"/>
      <c r="R29" s="61" t="s">
        <v>33</v>
      </c>
      <c r="S29" s="61"/>
      <c r="T29" s="61"/>
      <c r="U29" s="61"/>
    </row>
    <row r="30" spans="1:21" ht="14.5" customHeight="1">
      <c r="A30" s="57" t="s">
        <v>638</v>
      </c>
      <c r="B30" s="60" t="s">
        <v>33</v>
      </c>
      <c r="C30" s="60" t="s">
        <v>33</v>
      </c>
      <c r="D30" s="60" t="s">
        <v>33</v>
      </c>
      <c r="E30" s="60" t="s">
        <v>33</v>
      </c>
      <c r="F30" s="60" t="s">
        <v>33</v>
      </c>
      <c r="G30" s="60" t="s">
        <v>33</v>
      </c>
      <c r="H30" s="60" t="s">
        <v>33</v>
      </c>
      <c r="I30" s="60" t="s">
        <v>33</v>
      </c>
      <c r="J30" s="59" t="s">
        <v>27</v>
      </c>
      <c r="K30" s="59" t="s">
        <v>27</v>
      </c>
      <c r="L30" s="60" t="s">
        <v>33</v>
      </c>
      <c r="M30" s="60" t="s">
        <v>33</v>
      </c>
      <c r="N30" s="60" t="s">
        <v>33</v>
      </c>
      <c r="O30" s="59">
        <f t="shared" si="0"/>
        <v>2</v>
      </c>
      <c r="P30" s="53">
        <f t="shared" si="4"/>
        <v>0.15384615384615385</v>
      </c>
      <c r="Q30" s="61"/>
      <c r="R30" s="61" t="s">
        <v>33</v>
      </c>
      <c r="S30" s="61"/>
      <c r="T30" s="61"/>
      <c r="U30" s="61"/>
    </row>
    <row r="31" spans="1:21" s="73" customFormat="1" ht="14.5" customHeight="1">
      <c r="A31" s="75" t="s">
        <v>639</v>
      </c>
      <c r="B31" s="76" t="s">
        <v>332</v>
      </c>
      <c r="C31" s="76" t="s">
        <v>332</v>
      </c>
      <c r="D31" s="76" t="s">
        <v>332</v>
      </c>
      <c r="E31" s="76" t="s">
        <v>332</v>
      </c>
      <c r="F31" s="76" t="s">
        <v>332</v>
      </c>
      <c r="G31" s="76" t="s">
        <v>332</v>
      </c>
      <c r="H31" s="76" t="s">
        <v>332</v>
      </c>
      <c r="I31" s="76" t="s">
        <v>332</v>
      </c>
      <c r="J31" s="76" t="s">
        <v>332</v>
      </c>
      <c r="K31" s="76" t="s">
        <v>332</v>
      </c>
      <c r="L31" s="76" t="s">
        <v>332</v>
      </c>
      <c r="M31" s="76" t="s">
        <v>332</v>
      </c>
      <c r="N31" s="76" t="s">
        <v>332</v>
      </c>
      <c r="O31" s="76"/>
      <c r="P31" s="77"/>
      <c r="Q31" s="79"/>
      <c r="R31" s="86"/>
      <c r="S31" s="79" t="s">
        <v>694</v>
      </c>
      <c r="T31" s="79"/>
      <c r="U31" s="79"/>
    </row>
    <row r="32" spans="1:21" ht="14.5" customHeight="1">
      <c r="A32" s="57" t="s">
        <v>640</v>
      </c>
      <c r="B32" s="59" t="s">
        <v>27</v>
      </c>
      <c r="C32" s="59" t="s">
        <v>27</v>
      </c>
      <c r="D32" s="60" t="s">
        <v>33</v>
      </c>
      <c r="E32" s="59" t="s">
        <v>27</v>
      </c>
      <c r="F32" s="60" t="s">
        <v>33</v>
      </c>
      <c r="G32" s="60" t="s">
        <v>33</v>
      </c>
      <c r="H32" s="60" t="s">
        <v>33</v>
      </c>
      <c r="I32" s="60" t="s">
        <v>33</v>
      </c>
      <c r="J32" s="59" t="s">
        <v>27</v>
      </c>
      <c r="K32" s="60" t="s">
        <v>33</v>
      </c>
      <c r="L32" s="60" t="s">
        <v>33</v>
      </c>
      <c r="M32" s="60" t="s">
        <v>33</v>
      </c>
      <c r="N32" s="59" t="s">
        <v>27</v>
      </c>
      <c r="O32" s="59">
        <f t="shared" si="0"/>
        <v>5</v>
      </c>
      <c r="P32" s="53">
        <f>O32/13</f>
        <v>0.38461538461538464</v>
      </c>
      <c r="Q32" s="58" t="s">
        <v>34</v>
      </c>
      <c r="R32" s="85" t="s">
        <v>29</v>
      </c>
      <c r="S32" s="58" t="s">
        <v>694</v>
      </c>
      <c r="T32" s="58" t="s">
        <v>300</v>
      </c>
      <c r="U32" s="58" t="s">
        <v>301</v>
      </c>
    </row>
    <row r="33" spans="1:21" ht="14.5" customHeight="1">
      <c r="A33" s="57" t="s">
        <v>641</v>
      </c>
      <c r="B33" s="60" t="s">
        <v>33</v>
      </c>
      <c r="C33" s="59" t="s">
        <v>27</v>
      </c>
      <c r="D33" s="60" t="s">
        <v>33</v>
      </c>
      <c r="E33" s="59" t="s">
        <v>27</v>
      </c>
      <c r="F33" s="60" t="s">
        <v>33</v>
      </c>
      <c r="G33" s="60" t="s">
        <v>33</v>
      </c>
      <c r="H33" s="60" t="s">
        <v>33</v>
      </c>
      <c r="I33" s="60" t="s">
        <v>33</v>
      </c>
      <c r="J33" s="59" t="s">
        <v>27</v>
      </c>
      <c r="K33" s="60" t="s">
        <v>33</v>
      </c>
      <c r="L33" s="60" t="s">
        <v>33</v>
      </c>
      <c r="M33" s="60" t="s">
        <v>33</v>
      </c>
      <c r="N33" s="59" t="s">
        <v>27</v>
      </c>
      <c r="O33" s="59">
        <f t="shared" si="0"/>
        <v>4</v>
      </c>
      <c r="P33" s="53">
        <f>O33/13</f>
        <v>0.30769230769230771</v>
      </c>
      <c r="Q33" s="58" t="s">
        <v>34</v>
      </c>
      <c r="R33" s="85" t="s">
        <v>29</v>
      </c>
      <c r="S33" s="58" t="s">
        <v>694</v>
      </c>
      <c r="T33" s="58" t="s">
        <v>300</v>
      </c>
      <c r="U33" s="58" t="s">
        <v>301</v>
      </c>
    </row>
    <row r="34" spans="1:21" s="73" customFormat="1" ht="14.5" customHeight="1">
      <c r="A34" s="75" t="s">
        <v>642</v>
      </c>
      <c r="B34" s="76" t="s">
        <v>332</v>
      </c>
      <c r="C34" s="76" t="s">
        <v>332</v>
      </c>
      <c r="D34" s="76" t="s">
        <v>332</v>
      </c>
      <c r="E34" s="76" t="s">
        <v>332</v>
      </c>
      <c r="F34" s="76" t="s">
        <v>332</v>
      </c>
      <c r="G34" s="76" t="s">
        <v>332</v>
      </c>
      <c r="H34" s="76" t="s">
        <v>332</v>
      </c>
      <c r="I34" s="76" t="s">
        <v>332</v>
      </c>
      <c r="J34" s="76" t="s">
        <v>332</v>
      </c>
      <c r="K34" s="76" t="s">
        <v>332</v>
      </c>
      <c r="L34" s="76" t="s">
        <v>332</v>
      </c>
      <c r="M34" s="76" t="s">
        <v>332</v>
      </c>
      <c r="N34" s="76" t="s">
        <v>332</v>
      </c>
      <c r="O34" s="76"/>
      <c r="P34" s="77"/>
      <c r="Q34" s="79"/>
      <c r="R34" s="86"/>
      <c r="S34" s="79"/>
      <c r="T34" s="79"/>
      <c r="U34" s="79"/>
    </row>
    <row r="35" spans="1:21" ht="14.5" customHeight="1">
      <c r="A35" s="57" t="s">
        <v>643</v>
      </c>
      <c r="B35" s="60" t="s">
        <v>33</v>
      </c>
      <c r="C35" s="59" t="s">
        <v>27</v>
      </c>
      <c r="D35" s="60" t="s">
        <v>33</v>
      </c>
      <c r="E35" s="60" t="s">
        <v>33</v>
      </c>
      <c r="F35" s="60" t="s">
        <v>33</v>
      </c>
      <c r="G35" s="60" t="s">
        <v>33</v>
      </c>
      <c r="H35" s="60" t="s">
        <v>33</v>
      </c>
      <c r="I35" s="60" t="s">
        <v>33</v>
      </c>
      <c r="J35" s="60" t="s">
        <v>33</v>
      </c>
      <c r="K35" s="60" t="s">
        <v>33</v>
      </c>
      <c r="L35" s="59" t="s">
        <v>27</v>
      </c>
      <c r="M35" s="59" t="s">
        <v>27</v>
      </c>
      <c r="N35" s="59" t="s">
        <v>27</v>
      </c>
      <c r="O35" s="59">
        <f t="shared" si="0"/>
        <v>4</v>
      </c>
      <c r="P35" s="53">
        <f>O35/13</f>
        <v>0.30769230769230771</v>
      </c>
      <c r="Q35" s="58" t="s">
        <v>34</v>
      </c>
      <c r="R35" s="85" t="s">
        <v>29</v>
      </c>
      <c r="S35" s="58" t="s">
        <v>694</v>
      </c>
      <c r="T35" s="58" t="s">
        <v>300</v>
      </c>
      <c r="U35" s="58" t="s">
        <v>301</v>
      </c>
    </row>
    <row r="36" spans="1:21" ht="14.5" customHeight="1">
      <c r="A36" s="57" t="s">
        <v>644</v>
      </c>
      <c r="B36" s="60" t="s">
        <v>33</v>
      </c>
      <c r="C36" s="59" t="s">
        <v>27</v>
      </c>
      <c r="D36" s="60" t="s">
        <v>33</v>
      </c>
      <c r="E36" s="60" t="s">
        <v>33</v>
      </c>
      <c r="F36" s="60" t="s">
        <v>33</v>
      </c>
      <c r="G36" s="60" t="s">
        <v>33</v>
      </c>
      <c r="H36" s="60" t="s">
        <v>33</v>
      </c>
      <c r="I36" s="59" t="s">
        <v>27</v>
      </c>
      <c r="J36" s="60" t="s">
        <v>33</v>
      </c>
      <c r="K36" s="60" t="s">
        <v>33</v>
      </c>
      <c r="L36" s="60" t="s">
        <v>33</v>
      </c>
      <c r="M36" s="60" t="s">
        <v>33</v>
      </c>
      <c r="N36" s="60" t="s">
        <v>33</v>
      </c>
      <c r="O36" s="59">
        <f t="shared" si="0"/>
        <v>2</v>
      </c>
      <c r="P36" s="53">
        <f t="shared" ref="P36" si="5">O36/13</f>
        <v>0.15384615384615385</v>
      </c>
      <c r="Q36" s="58" t="s">
        <v>34</v>
      </c>
      <c r="R36" s="85" t="s">
        <v>29</v>
      </c>
      <c r="S36" s="58" t="s">
        <v>694</v>
      </c>
      <c r="T36" s="58" t="s">
        <v>300</v>
      </c>
      <c r="U36" s="58" t="s">
        <v>301</v>
      </c>
    </row>
    <row r="37" spans="1:21" ht="14.5" customHeight="1">
      <c r="A37" s="57" t="s">
        <v>645</v>
      </c>
      <c r="B37" s="60" t="s">
        <v>33</v>
      </c>
      <c r="C37" s="59" t="s">
        <v>27</v>
      </c>
      <c r="D37" s="60" t="s">
        <v>33</v>
      </c>
      <c r="E37" s="60" t="s">
        <v>33</v>
      </c>
      <c r="F37" s="60" t="s">
        <v>33</v>
      </c>
      <c r="G37" s="60" t="s">
        <v>33</v>
      </c>
      <c r="H37" s="60" t="s">
        <v>33</v>
      </c>
      <c r="I37" s="60" t="s">
        <v>33</v>
      </c>
      <c r="J37" s="60" t="s">
        <v>33</v>
      </c>
      <c r="K37" s="60" t="s">
        <v>33</v>
      </c>
      <c r="L37" s="60" t="s">
        <v>33</v>
      </c>
      <c r="M37" s="60" t="s">
        <v>33</v>
      </c>
      <c r="N37" s="59" t="s">
        <v>27</v>
      </c>
      <c r="O37" s="59">
        <f t="shared" si="0"/>
        <v>2</v>
      </c>
      <c r="P37" s="53">
        <f>O37/13</f>
        <v>0.15384615384615385</v>
      </c>
      <c r="Q37" s="58" t="s">
        <v>34</v>
      </c>
      <c r="R37" s="85" t="s">
        <v>29</v>
      </c>
      <c r="S37" s="58" t="s">
        <v>694</v>
      </c>
      <c r="T37" s="58" t="s">
        <v>300</v>
      </c>
      <c r="U37" s="58" t="s">
        <v>301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E0C2-493A-4CDA-B1F4-6543683EE4F7}">
  <sheetPr codeName="Sheet13"/>
  <dimension ref="A1:U32"/>
  <sheetViews>
    <sheetView zoomScale="64" zoomScaleNormal="64" workbookViewId="0">
      <pane xSplit="1" topLeftCell="Q1" activePane="topRight" state="frozen"/>
      <selection activeCell="Q37" sqref="Q37"/>
      <selection pane="topRight" activeCell="U35" sqref="U35"/>
    </sheetView>
  </sheetViews>
  <sheetFormatPr defaultRowHeight="15" customHeight="1"/>
  <cols>
    <col min="1" max="1" width="50.69140625" customWidth="1"/>
    <col min="2" max="16" width="13.69140625" customWidth="1"/>
    <col min="17" max="21" width="20.69140625" customWidth="1"/>
  </cols>
  <sheetData>
    <row r="1" spans="1:21" ht="75" customHeight="1">
      <c r="A1" s="54" t="s">
        <v>646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323</v>
      </c>
      <c r="N1" s="55" t="s">
        <v>13</v>
      </c>
      <c r="O1" s="55" t="s">
        <v>14</v>
      </c>
      <c r="P1" s="55" t="s">
        <v>15</v>
      </c>
      <c r="Q1" s="56" t="s">
        <v>21</v>
      </c>
      <c r="R1" s="55" t="s">
        <v>22</v>
      </c>
      <c r="S1" s="55" t="s">
        <v>23</v>
      </c>
      <c r="T1" s="55" t="s">
        <v>24</v>
      </c>
      <c r="U1" s="55" t="s">
        <v>25</v>
      </c>
    </row>
    <row r="2" spans="1:21" ht="14.5" customHeight="1">
      <c r="A2" s="57" t="s">
        <v>647</v>
      </c>
      <c r="B2" s="59" t="s">
        <v>27</v>
      </c>
      <c r="C2" s="59" t="s">
        <v>27</v>
      </c>
      <c r="D2" s="59" t="s">
        <v>27</v>
      </c>
      <c r="E2" s="59" t="s">
        <v>27</v>
      </c>
      <c r="F2" s="60" t="s">
        <v>33</v>
      </c>
      <c r="G2" s="59" t="s">
        <v>27</v>
      </c>
      <c r="H2" s="60" t="s">
        <v>33</v>
      </c>
      <c r="I2" s="59" t="s">
        <v>27</v>
      </c>
      <c r="J2" s="59" t="s">
        <v>27</v>
      </c>
      <c r="K2" s="59" t="s">
        <v>27</v>
      </c>
      <c r="L2" s="60" t="s">
        <v>33</v>
      </c>
      <c r="M2" s="59" t="s">
        <v>27</v>
      </c>
      <c r="N2" s="60" t="s">
        <v>33</v>
      </c>
      <c r="O2" s="59">
        <f>COUNTIF(B2:N2,"✔")</f>
        <v>9</v>
      </c>
      <c r="P2" s="53">
        <f>O2/13</f>
        <v>0.69230769230769229</v>
      </c>
      <c r="Q2" s="64" t="s">
        <v>34</v>
      </c>
      <c r="R2" s="64" t="s">
        <v>680</v>
      </c>
      <c r="S2" s="64" t="s">
        <v>648</v>
      </c>
      <c r="T2" s="58"/>
      <c r="U2" s="58"/>
    </row>
    <row r="3" spans="1:21" ht="14.5" customHeight="1">
      <c r="A3" s="57"/>
      <c r="B3" s="59"/>
      <c r="C3" s="59"/>
      <c r="D3" s="59"/>
      <c r="E3" s="59"/>
      <c r="F3" s="60"/>
      <c r="G3" s="59"/>
      <c r="H3" s="60"/>
      <c r="I3" s="59"/>
      <c r="J3" s="59"/>
      <c r="K3" s="59"/>
      <c r="L3" s="60"/>
      <c r="M3" s="60"/>
      <c r="N3" s="60"/>
      <c r="O3" s="59"/>
      <c r="P3" s="53"/>
      <c r="Q3" s="64" t="s">
        <v>34</v>
      </c>
      <c r="R3" s="64" t="s">
        <v>681</v>
      </c>
      <c r="S3" s="64" t="s">
        <v>649</v>
      </c>
      <c r="T3" s="58" t="s">
        <v>650</v>
      </c>
      <c r="U3" s="58" t="s">
        <v>145</v>
      </c>
    </row>
    <row r="4" spans="1:21" ht="14.5" customHeight="1">
      <c r="A4" s="57" t="s">
        <v>651</v>
      </c>
      <c r="B4" s="59" t="s">
        <v>27</v>
      </c>
      <c r="C4" s="60" t="s">
        <v>33</v>
      </c>
      <c r="D4" s="59" t="s">
        <v>27</v>
      </c>
      <c r="E4" s="60" t="s">
        <v>33</v>
      </c>
      <c r="F4" s="60" t="s">
        <v>33</v>
      </c>
      <c r="G4" s="59" t="s">
        <v>27</v>
      </c>
      <c r="H4" s="60" t="s">
        <v>33</v>
      </c>
      <c r="I4" s="59" t="s">
        <v>27</v>
      </c>
      <c r="J4" s="59" t="s">
        <v>27</v>
      </c>
      <c r="K4" s="60" t="s">
        <v>33</v>
      </c>
      <c r="L4" s="59" t="s">
        <v>27</v>
      </c>
      <c r="M4" s="59" t="s">
        <v>27</v>
      </c>
      <c r="N4" s="60" t="s">
        <v>33</v>
      </c>
      <c r="O4" s="59">
        <f>COUNTIF(B4:N4,"✔")</f>
        <v>7</v>
      </c>
      <c r="P4" s="53">
        <f t="shared" ref="P4:P32" si="0">O4/13</f>
        <v>0.53846153846153844</v>
      </c>
      <c r="Q4" s="64" t="s">
        <v>34</v>
      </c>
      <c r="R4" s="64" t="s">
        <v>29</v>
      </c>
      <c r="S4" s="64" t="s">
        <v>571</v>
      </c>
      <c r="T4" s="64" t="s">
        <v>572</v>
      </c>
      <c r="U4" s="64" t="s">
        <v>573</v>
      </c>
    </row>
    <row r="5" spans="1:21" ht="14.5" customHeight="1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3"/>
      <c r="Q5" s="64" t="s">
        <v>34</v>
      </c>
      <c r="R5" s="64" t="s">
        <v>29</v>
      </c>
      <c r="S5" s="64" t="s">
        <v>694</v>
      </c>
      <c r="T5" s="64" t="s">
        <v>100</v>
      </c>
      <c r="U5" s="64" t="s">
        <v>706</v>
      </c>
    </row>
    <row r="6" spans="1:21" ht="14.5" customHeight="1">
      <c r="A6" s="57" t="s">
        <v>652</v>
      </c>
      <c r="B6" s="59" t="s">
        <v>27</v>
      </c>
      <c r="C6" s="60" t="s">
        <v>33</v>
      </c>
      <c r="D6" s="59" t="s">
        <v>27</v>
      </c>
      <c r="E6" s="60" t="s">
        <v>33</v>
      </c>
      <c r="F6" s="59" t="s">
        <v>27</v>
      </c>
      <c r="G6" s="59" t="s">
        <v>27</v>
      </c>
      <c r="H6" s="60" t="s">
        <v>33</v>
      </c>
      <c r="I6" s="59" t="s">
        <v>27</v>
      </c>
      <c r="J6" s="60" t="s">
        <v>33</v>
      </c>
      <c r="K6" s="60" t="s">
        <v>33</v>
      </c>
      <c r="L6" s="60" t="s">
        <v>33</v>
      </c>
      <c r="M6" s="60" t="s">
        <v>33</v>
      </c>
      <c r="N6" s="60" t="s">
        <v>33</v>
      </c>
      <c r="O6" s="59">
        <f>COUNTIF(B6:N6,"✔")</f>
        <v>5</v>
      </c>
      <c r="P6" s="53">
        <f t="shared" si="0"/>
        <v>0.38461538461538464</v>
      </c>
      <c r="Q6" s="58" t="s">
        <v>34</v>
      </c>
      <c r="R6" s="58" t="s">
        <v>29</v>
      </c>
      <c r="S6" s="58" t="s">
        <v>694</v>
      </c>
      <c r="T6" s="58" t="s">
        <v>300</v>
      </c>
      <c r="U6" s="58" t="s">
        <v>301</v>
      </c>
    </row>
    <row r="7" spans="1:21" ht="14.5" customHeight="1">
      <c r="A7" s="69" t="s">
        <v>653</v>
      </c>
      <c r="B7" s="59" t="s">
        <v>27</v>
      </c>
      <c r="C7" s="60" t="s">
        <v>33</v>
      </c>
      <c r="D7" s="60" t="s">
        <v>33</v>
      </c>
      <c r="E7" s="60" t="s">
        <v>33</v>
      </c>
      <c r="F7" s="59" t="s">
        <v>27</v>
      </c>
      <c r="G7" s="60" t="s">
        <v>33</v>
      </c>
      <c r="H7" s="59" t="s">
        <v>27</v>
      </c>
      <c r="I7" s="60" t="s">
        <v>33</v>
      </c>
      <c r="J7" s="60" t="s">
        <v>33</v>
      </c>
      <c r="K7" s="60" t="s">
        <v>33</v>
      </c>
      <c r="L7" s="60" t="s">
        <v>33</v>
      </c>
      <c r="M7" s="59" t="s">
        <v>27</v>
      </c>
      <c r="N7" s="60" t="s">
        <v>33</v>
      </c>
      <c r="O7" s="59">
        <f>COUNTIF(B7:N7,"✔")</f>
        <v>4</v>
      </c>
      <c r="P7" s="53">
        <f t="shared" si="0"/>
        <v>0.30769230769230771</v>
      </c>
      <c r="Q7" s="61" t="s">
        <v>34</v>
      </c>
      <c r="R7" s="61" t="s">
        <v>29</v>
      </c>
      <c r="S7" s="61" t="s">
        <v>182</v>
      </c>
      <c r="T7" s="70" t="s">
        <v>31</v>
      </c>
      <c r="U7" s="70" t="s">
        <v>31</v>
      </c>
    </row>
    <row r="8" spans="1:21" ht="14.5" customHeight="1">
      <c r="A8" s="57" t="s">
        <v>654</v>
      </c>
      <c r="B8" s="59" t="s">
        <v>27</v>
      </c>
      <c r="C8" s="60" t="s">
        <v>33</v>
      </c>
      <c r="D8" s="59" t="s">
        <v>27</v>
      </c>
      <c r="E8" s="60" t="s">
        <v>33</v>
      </c>
      <c r="F8" s="60" t="s">
        <v>33</v>
      </c>
      <c r="G8" s="59" t="s">
        <v>27</v>
      </c>
      <c r="H8" s="60" t="s">
        <v>33</v>
      </c>
      <c r="I8" s="59" t="s">
        <v>27</v>
      </c>
      <c r="J8" s="60" t="s">
        <v>33</v>
      </c>
      <c r="K8" s="60" t="s">
        <v>33</v>
      </c>
      <c r="L8" s="60" t="s">
        <v>33</v>
      </c>
      <c r="M8" s="60" t="s">
        <v>33</v>
      </c>
      <c r="N8" s="60" t="s">
        <v>33</v>
      </c>
      <c r="O8" s="59">
        <f t="shared" ref="O8:O30" si="1">COUNTIF(B8:N8,"✔")</f>
        <v>4</v>
      </c>
      <c r="P8" s="53">
        <f t="shared" si="0"/>
        <v>0.30769230769230771</v>
      </c>
      <c r="Q8" s="58" t="s">
        <v>34</v>
      </c>
      <c r="R8" s="58" t="s">
        <v>29</v>
      </c>
      <c r="S8" s="58" t="s">
        <v>694</v>
      </c>
      <c r="T8" s="58" t="s">
        <v>300</v>
      </c>
      <c r="U8" s="58" t="s">
        <v>301</v>
      </c>
    </row>
    <row r="9" spans="1:21" ht="14.5" customHeight="1">
      <c r="A9" s="57" t="s">
        <v>655</v>
      </c>
      <c r="B9" s="59" t="s">
        <v>27</v>
      </c>
      <c r="C9" s="60" t="s">
        <v>33</v>
      </c>
      <c r="D9" s="60" t="s">
        <v>33</v>
      </c>
      <c r="E9" s="60" t="s">
        <v>33</v>
      </c>
      <c r="F9" s="60" t="s">
        <v>33</v>
      </c>
      <c r="G9" s="60" t="s">
        <v>33</v>
      </c>
      <c r="H9" s="60" t="s">
        <v>33</v>
      </c>
      <c r="I9" s="59" t="s">
        <v>27</v>
      </c>
      <c r="J9" s="60" t="s">
        <v>33</v>
      </c>
      <c r="K9" s="60" t="s">
        <v>33</v>
      </c>
      <c r="L9" s="60" t="s">
        <v>33</v>
      </c>
      <c r="M9" s="60" t="s">
        <v>33</v>
      </c>
      <c r="N9" s="60" t="s">
        <v>33</v>
      </c>
      <c r="O9" s="59">
        <f t="shared" si="1"/>
        <v>2</v>
      </c>
      <c r="P9" s="53">
        <f t="shared" si="0"/>
        <v>0.15384615384615385</v>
      </c>
      <c r="Q9" s="58" t="s">
        <v>34</v>
      </c>
      <c r="R9" s="58" t="s">
        <v>29</v>
      </c>
      <c r="S9" s="58" t="s">
        <v>45</v>
      </c>
      <c r="T9" s="58" t="s">
        <v>108</v>
      </c>
      <c r="U9" s="58" t="s">
        <v>38</v>
      </c>
    </row>
    <row r="10" spans="1:21" ht="14.5" customHeight="1">
      <c r="A10" s="57" t="s">
        <v>656</v>
      </c>
      <c r="B10" s="60" t="s">
        <v>33</v>
      </c>
      <c r="C10" s="60" t="s">
        <v>33</v>
      </c>
      <c r="D10" s="60" t="s">
        <v>33</v>
      </c>
      <c r="E10" s="60" t="s">
        <v>33</v>
      </c>
      <c r="F10" s="59" t="s">
        <v>27</v>
      </c>
      <c r="G10" s="59" t="s">
        <v>27</v>
      </c>
      <c r="H10" s="60" t="s">
        <v>33</v>
      </c>
      <c r="I10" s="60" t="s">
        <v>33</v>
      </c>
      <c r="J10" s="60" t="s">
        <v>33</v>
      </c>
      <c r="K10" s="60" t="s">
        <v>33</v>
      </c>
      <c r="L10" s="60" t="s">
        <v>33</v>
      </c>
      <c r="M10" s="60" t="s">
        <v>33</v>
      </c>
      <c r="N10" s="60" t="s">
        <v>33</v>
      </c>
      <c r="O10" s="59">
        <f t="shared" si="1"/>
        <v>2</v>
      </c>
      <c r="P10" s="53">
        <f t="shared" si="0"/>
        <v>0.15384615384615385</v>
      </c>
      <c r="Q10" s="58" t="s">
        <v>34</v>
      </c>
      <c r="R10" s="58" t="s">
        <v>29</v>
      </c>
      <c r="S10" s="58" t="s">
        <v>307</v>
      </c>
      <c r="T10" s="58" t="s">
        <v>124</v>
      </c>
      <c r="U10" s="58" t="s">
        <v>308</v>
      </c>
    </row>
    <row r="11" spans="1:21" ht="14.5" customHeight="1">
      <c r="A11" s="57" t="s">
        <v>657</v>
      </c>
      <c r="B11" s="60" t="s">
        <v>33</v>
      </c>
      <c r="C11" s="60" t="s">
        <v>33</v>
      </c>
      <c r="D11" s="60" t="s">
        <v>33</v>
      </c>
      <c r="E11" s="60" t="s">
        <v>33</v>
      </c>
      <c r="F11" s="59" t="s">
        <v>27</v>
      </c>
      <c r="G11" s="60" t="s">
        <v>33</v>
      </c>
      <c r="H11" s="59" t="s">
        <v>27</v>
      </c>
      <c r="I11" s="60" t="s">
        <v>33</v>
      </c>
      <c r="J11" s="60" t="s">
        <v>33</v>
      </c>
      <c r="K11" s="60" t="s">
        <v>33</v>
      </c>
      <c r="L11" s="60" t="s">
        <v>33</v>
      </c>
      <c r="M11" s="59" t="s">
        <v>27</v>
      </c>
      <c r="N11" s="60" t="s">
        <v>33</v>
      </c>
      <c r="O11" s="59">
        <f t="shared" si="1"/>
        <v>3</v>
      </c>
      <c r="P11" s="53">
        <f t="shared" si="0"/>
        <v>0.23076923076923078</v>
      </c>
      <c r="Q11" s="58" t="s">
        <v>34</v>
      </c>
      <c r="R11" s="58" t="s">
        <v>29</v>
      </c>
      <c r="S11" s="58" t="s">
        <v>694</v>
      </c>
      <c r="T11" s="58" t="s">
        <v>300</v>
      </c>
      <c r="U11" s="58" t="s">
        <v>301</v>
      </c>
    </row>
    <row r="12" spans="1:21" ht="14.5" customHeight="1">
      <c r="A12" s="57" t="s">
        <v>658</v>
      </c>
      <c r="B12" s="60" t="s">
        <v>33</v>
      </c>
      <c r="C12" s="60" t="s">
        <v>33</v>
      </c>
      <c r="D12" s="60" t="s">
        <v>33</v>
      </c>
      <c r="E12" s="60" t="s">
        <v>33</v>
      </c>
      <c r="F12" s="59" t="s">
        <v>27</v>
      </c>
      <c r="G12" s="60" t="s">
        <v>33</v>
      </c>
      <c r="H12" s="59" t="s">
        <v>27</v>
      </c>
      <c r="I12" s="60" t="s">
        <v>33</v>
      </c>
      <c r="J12" s="60" t="s">
        <v>33</v>
      </c>
      <c r="K12" s="60" t="s">
        <v>33</v>
      </c>
      <c r="L12" s="60" t="s">
        <v>33</v>
      </c>
      <c r="M12" s="59" t="s">
        <v>27</v>
      </c>
      <c r="N12" s="60" t="s">
        <v>33</v>
      </c>
      <c r="O12" s="59">
        <f t="shared" si="1"/>
        <v>3</v>
      </c>
      <c r="P12" s="53">
        <f t="shared" si="0"/>
        <v>0.23076923076923078</v>
      </c>
      <c r="Q12" s="64" t="s">
        <v>34</v>
      </c>
      <c r="R12" s="64" t="s">
        <v>29</v>
      </c>
      <c r="S12" s="64" t="s">
        <v>571</v>
      </c>
      <c r="T12" s="64" t="s">
        <v>572</v>
      </c>
      <c r="U12" s="64" t="s">
        <v>573</v>
      </c>
    </row>
    <row r="13" spans="1:21" s="73" customFormat="1" ht="14.5" customHeight="1">
      <c r="A13" s="71" t="s">
        <v>659</v>
      </c>
      <c r="B13" s="87" t="s">
        <v>33</v>
      </c>
      <c r="C13" s="87" t="s">
        <v>33</v>
      </c>
      <c r="D13" s="87" t="s">
        <v>33</v>
      </c>
      <c r="E13" s="87" t="s">
        <v>33</v>
      </c>
      <c r="F13" s="74" t="s">
        <v>27</v>
      </c>
      <c r="G13" s="87" t="s">
        <v>33</v>
      </c>
      <c r="H13" s="87" t="s">
        <v>33</v>
      </c>
      <c r="I13" s="74" t="s">
        <v>27</v>
      </c>
      <c r="J13" s="87" t="s">
        <v>33</v>
      </c>
      <c r="K13" s="87" t="s">
        <v>33</v>
      </c>
      <c r="L13" s="87" t="s">
        <v>33</v>
      </c>
      <c r="M13" s="74" t="s">
        <v>27</v>
      </c>
      <c r="N13" s="87" t="s">
        <v>33</v>
      </c>
      <c r="O13" s="74">
        <f t="shared" si="1"/>
        <v>3</v>
      </c>
      <c r="P13" s="53">
        <f t="shared" si="0"/>
        <v>0.23076923076923078</v>
      </c>
      <c r="Q13" s="72" t="s">
        <v>34</v>
      </c>
      <c r="R13" s="72" t="s">
        <v>29</v>
      </c>
      <c r="S13" s="72" t="s">
        <v>50</v>
      </c>
      <c r="T13" s="72" t="s">
        <v>231</v>
      </c>
      <c r="U13" s="72" t="s">
        <v>289</v>
      </c>
    </row>
    <row r="14" spans="1:21" ht="14.5" customHeight="1">
      <c r="A14" s="57" t="s">
        <v>660</v>
      </c>
      <c r="B14" s="60" t="s">
        <v>33</v>
      </c>
      <c r="C14" s="60" t="s">
        <v>33</v>
      </c>
      <c r="D14" s="60" t="s">
        <v>33</v>
      </c>
      <c r="E14" s="60" t="s">
        <v>33</v>
      </c>
      <c r="F14" s="59" t="s">
        <v>27</v>
      </c>
      <c r="G14" s="60" t="s">
        <v>33</v>
      </c>
      <c r="H14" s="59" t="s">
        <v>27</v>
      </c>
      <c r="I14" s="60" t="s">
        <v>33</v>
      </c>
      <c r="J14" s="60" t="s">
        <v>33</v>
      </c>
      <c r="K14" s="60" t="s">
        <v>33</v>
      </c>
      <c r="L14" s="60" t="s">
        <v>33</v>
      </c>
      <c r="M14" s="59" t="s">
        <v>27</v>
      </c>
      <c r="N14" s="60" t="s">
        <v>33</v>
      </c>
      <c r="O14" s="59">
        <f t="shared" si="1"/>
        <v>3</v>
      </c>
      <c r="P14" s="53">
        <f t="shared" si="0"/>
        <v>0.23076923076923078</v>
      </c>
      <c r="Q14" s="64" t="s">
        <v>34</v>
      </c>
      <c r="R14" s="64" t="s">
        <v>29</v>
      </c>
      <c r="S14" s="64" t="s">
        <v>571</v>
      </c>
      <c r="T14" s="64" t="s">
        <v>572</v>
      </c>
      <c r="U14" s="64" t="s">
        <v>573</v>
      </c>
    </row>
    <row r="15" spans="1:21" ht="14.5" customHeight="1">
      <c r="A15" s="57"/>
      <c r="B15" s="60"/>
      <c r="C15" s="60"/>
      <c r="D15" s="60"/>
      <c r="E15" s="60"/>
      <c r="F15" s="59"/>
      <c r="G15" s="60"/>
      <c r="H15" s="59"/>
      <c r="I15" s="60"/>
      <c r="J15" s="60"/>
      <c r="K15" s="60"/>
      <c r="L15" s="60"/>
      <c r="M15" s="60"/>
      <c r="N15" s="60"/>
      <c r="O15" s="59"/>
      <c r="P15" s="53"/>
      <c r="Q15" s="64" t="s">
        <v>34</v>
      </c>
      <c r="R15" s="64" t="s">
        <v>29</v>
      </c>
      <c r="S15" s="64" t="s">
        <v>694</v>
      </c>
      <c r="T15" s="64" t="s">
        <v>100</v>
      </c>
      <c r="U15" s="64" t="s">
        <v>101</v>
      </c>
    </row>
    <row r="16" spans="1:21" ht="14.5" customHeight="1">
      <c r="A16" s="57" t="s">
        <v>661</v>
      </c>
      <c r="B16" s="60" t="s">
        <v>33</v>
      </c>
      <c r="C16" s="60" t="s">
        <v>33</v>
      </c>
      <c r="D16" s="60" t="s">
        <v>33</v>
      </c>
      <c r="E16" s="60" t="s">
        <v>33</v>
      </c>
      <c r="F16" s="60" t="s">
        <v>33</v>
      </c>
      <c r="G16" s="60" t="s">
        <v>33</v>
      </c>
      <c r="H16" s="59" t="s">
        <v>27</v>
      </c>
      <c r="I16" s="60" t="s">
        <v>33</v>
      </c>
      <c r="J16" s="60" t="s">
        <v>33</v>
      </c>
      <c r="K16" s="60" t="s">
        <v>33</v>
      </c>
      <c r="L16" s="59" t="s">
        <v>27</v>
      </c>
      <c r="M16" s="59" t="s">
        <v>27</v>
      </c>
      <c r="N16" s="60" t="s">
        <v>33</v>
      </c>
      <c r="O16" s="59">
        <f t="shared" si="1"/>
        <v>3</v>
      </c>
      <c r="P16" s="53">
        <f t="shared" si="0"/>
        <v>0.23076923076923078</v>
      </c>
      <c r="Q16" s="64" t="s">
        <v>34</v>
      </c>
      <c r="R16" s="64" t="s">
        <v>29</v>
      </c>
      <c r="S16" s="64" t="s">
        <v>571</v>
      </c>
      <c r="T16" s="64" t="s">
        <v>572</v>
      </c>
      <c r="U16" s="64" t="s">
        <v>573</v>
      </c>
    </row>
    <row r="17" spans="1:21" ht="14.5" customHeight="1">
      <c r="A17" s="57"/>
      <c r="B17" s="60"/>
      <c r="C17" s="60"/>
      <c r="D17" s="60"/>
      <c r="E17" s="60"/>
      <c r="F17" s="60"/>
      <c r="G17" s="60"/>
      <c r="H17" s="59"/>
      <c r="I17" s="60"/>
      <c r="J17" s="60"/>
      <c r="K17" s="60"/>
      <c r="L17" s="59"/>
      <c r="M17" s="60"/>
      <c r="N17" s="60"/>
      <c r="O17" s="59"/>
      <c r="P17" s="53"/>
      <c r="Q17" s="64" t="s">
        <v>34</v>
      </c>
      <c r="R17" s="64" t="s">
        <v>29</v>
      </c>
      <c r="S17" s="64" t="s">
        <v>694</v>
      </c>
      <c r="T17" s="64" t="s">
        <v>100</v>
      </c>
      <c r="U17" s="64" t="s">
        <v>101</v>
      </c>
    </row>
    <row r="18" spans="1:21" ht="14.5" customHeight="1">
      <c r="A18" s="57" t="s">
        <v>662</v>
      </c>
      <c r="B18" s="60" t="s">
        <v>33</v>
      </c>
      <c r="C18" s="60" t="s">
        <v>33</v>
      </c>
      <c r="D18" s="59" t="s">
        <v>27</v>
      </c>
      <c r="E18" s="60" t="s">
        <v>33</v>
      </c>
      <c r="F18" s="60" t="s">
        <v>33</v>
      </c>
      <c r="G18" s="60" t="s">
        <v>33</v>
      </c>
      <c r="H18" s="60" t="s">
        <v>33</v>
      </c>
      <c r="I18" s="60" t="s">
        <v>33</v>
      </c>
      <c r="J18" s="60" t="s">
        <v>33</v>
      </c>
      <c r="K18" s="60" t="s">
        <v>33</v>
      </c>
      <c r="L18" s="60" t="s">
        <v>33</v>
      </c>
      <c r="M18" s="60" t="s">
        <v>33</v>
      </c>
      <c r="N18" s="60" t="s">
        <v>33</v>
      </c>
      <c r="O18" s="59">
        <f t="shared" si="1"/>
        <v>1</v>
      </c>
      <c r="P18" s="53">
        <f t="shared" si="0"/>
        <v>7.6923076923076927E-2</v>
      </c>
      <c r="Q18" s="61"/>
      <c r="R18" s="59" t="s">
        <v>33</v>
      </c>
      <c r="S18" s="61"/>
      <c r="T18" s="61"/>
      <c r="U18" s="61"/>
    </row>
    <row r="19" spans="1:21" ht="14.5" customHeight="1">
      <c r="A19" s="57" t="s">
        <v>663</v>
      </c>
      <c r="B19" s="60" t="s">
        <v>33</v>
      </c>
      <c r="C19" s="60" t="s">
        <v>33</v>
      </c>
      <c r="D19" s="60" t="s">
        <v>33</v>
      </c>
      <c r="E19" s="60" t="s">
        <v>33</v>
      </c>
      <c r="F19" s="59" t="s">
        <v>27</v>
      </c>
      <c r="G19" s="60" t="s">
        <v>33</v>
      </c>
      <c r="H19" s="60" t="s">
        <v>33</v>
      </c>
      <c r="I19" s="60" t="s">
        <v>33</v>
      </c>
      <c r="J19" s="60" t="s">
        <v>33</v>
      </c>
      <c r="K19" s="60" t="s">
        <v>33</v>
      </c>
      <c r="L19" s="60" t="s">
        <v>33</v>
      </c>
      <c r="M19" s="60" t="s">
        <v>33</v>
      </c>
      <c r="N19" s="60" t="s">
        <v>33</v>
      </c>
      <c r="O19" s="59">
        <f t="shared" si="1"/>
        <v>1</v>
      </c>
      <c r="P19" s="53">
        <f t="shared" si="0"/>
        <v>7.6923076923076927E-2</v>
      </c>
      <c r="Q19" s="61"/>
      <c r="R19" s="59" t="s">
        <v>33</v>
      </c>
      <c r="S19" s="61"/>
      <c r="T19" s="61"/>
      <c r="U19" s="61"/>
    </row>
    <row r="20" spans="1:21" ht="14.5" customHeight="1">
      <c r="A20" s="57" t="s">
        <v>664</v>
      </c>
      <c r="B20" s="60" t="s">
        <v>33</v>
      </c>
      <c r="C20" s="60" t="s">
        <v>33</v>
      </c>
      <c r="D20" s="60" t="s">
        <v>33</v>
      </c>
      <c r="E20" s="60" t="s">
        <v>33</v>
      </c>
      <c r="F20" s="59" t="s">
        <v>27</v>
      </c>
      <c r="G20" s="60" t="s">
        <v>33</v>
      </c>
      <c r="H20" s="60" t="s">
        <v>33</v>
      </c>
      <c r="I20" s="60" t="s">
        <v>33</v>
      </c>
      <c r="J20" s="60" t="s">
        <v>33</v>
      </c>
      <c r="K20" s="59" t="s">
        <v>27</v>
      </c>
      <c r="L20" s="60" t="s">
        <v>33</v>
      </c>
      <c r="M20" s="60" t="s">
        <v>33</v>
      </c>
      <c r="N20" s="60" t="s">
        <v>33</v>
      </c>
      <c r="O20" s="59">
        <f t="shared" si="1"/>
        <v>2</v>
      </c>
      <c r="P20" s="53">
        <f t="shared" si="0"/>
        <v>0.15384615384615385</v>
      </c>
      <c r="Q20" s="61"/>
      <c r="R20" s="59" t="s">
        <v>33</v>
      </c>
      <c r="S20" s="61"/>
      <c r="T20" s="61"/>
      <c r="U20" s="61"/>
    </row>
    <row r="21" spans="1:21" ht="14.5" customHeight="1">
      <c r="A21" s="57" t="s">
        <v>500</v>
      </c>
      <c r="B21" s="60" t="s">
        <v>33</v>
      </c>
      <c r="C21" s="60" t="s">
        <v>33</v>
      </c>
      <c r="D21" s="60" t="s">
        <v>33</v>
      </c>
      <c r="E21" s="60" t="s">
        <v>33</v>
      </c>
      <c r="F21" s="59" t="s">
        <v>27</v>
      </c>
      <c r="G21" s="60" t="s">
        <v>33</v>
      </c>
      <c r="H21" s="60" t="s">
        <v>33</v>
      </c>
      <c r="I21" s="60" t="s">
        <v>33</v>
      </c>
      <c r="J21" s="60" t="s">
        <v>33</v>
      </c>
      <c r="K21" s="60" t="s">
        <v>33</v>
      </c>
      <c r="L21" s="60" t="s">
        <v>33</v>
      </c>
      <c r="M21" s="60" t="s">
        <v>33</v>
      </c>
      <c r="N21" s="60" t="s">
        <v>33</v>
      </c>
      <c r="O21" s="59">
        <f t="shared" si="1"/>
        <v>1</v>
      </c>
      <c r="P21" s="53">
        <f t="shared" si="0"/>
        <v>7.6923076923076927E-2</v>
      </c>
      <c r="Q21" s="58" t="s">
        <v>34</v>
      </c>
      <c r="R21" s="58" t="s">
        <v>29</v>
      </c>
      <c r="S21" s="58" t="s">
        <v>307</v>
      </c>
      <c r="T21" s="58" t="s">
        <v>124</v>
      </c>
      <c r="U21" s="58" t="s">
        <v>308</v>
      </c>
    </row>
    <row r="22" spans="1:21" ht="14.5" customHeight="1">
      <c r="A22" s="57" t="s">
        <v>665</v>
      </c>
      <c r="B22" s="60" t="s">
        <v>33</v>
      </c>
      <c r="C22" s="60" t="s">
        <v>33</v>
      </c>
      <c r="D22" s="60" t="s">
        <v>33</v>
      </c>
      <c r="E22" s="60" t="s">
        <v>33</v>
      </c>
      <c r="F22" s="59" t="s">
        <v>27</v>
      </c>
      <c r="G22" s="60" t="s">
        <v>33</v>
      </c>
      <c r="H22" s="60" t="s">
        <v>33</v>
      </c>
      <c r="I22" s="60" t="s">
        <v>33</v>
      </c>
      <c r="J22" s="60" t="s">
        <v>33</v>
      </c>
      <c r="K22" s="60" t="s">
        <v>33</v>
      </c>
      <c r="L22" s="60" t="s">
        <v>33</v>
      </c>
      <c r="M22" s="60" t="s">
        <v>33</v>
      </c>
      <c r="N22" s="60" t="s">
        <v>33</v>
      </c>
      <c r="O22" s="59">
        <f t="shared" si="1"/>
        <v>1</v>
      </c>
      <c r="P22" s="53">
        <f t="shared" si="0"/>
        <v>7.6923076923076927E-2</v>
      </c>
      <c r="Q22" s="61"/>
      <c r="R22" s="59" t="s">
        <v>33</v>
      </c>
      <c r="S22" s="61"/>
      <c r="T22" s="61"/>
      <c r="U22" s="61"/>
    </row>
    <row r="23" spans="1:21" ht="14.5" customHeight="1">
      <c r="A23" s="57" t="s">
        <v>666</v>
      </c>
      <c r="B23" s="60" t="s">
        <v>33</v>
      </c>
      <c r="C23" s="60" t="s">
        <v>33</v>
      </c>
      <c r="D23" s="60" t="s">
        <v>33</v>
      </c>
      <c r="E23" s="60" t="s">
        <v>33</v>
      </c>
      <c r="F23" s="59" t="s">
        <v>27</v>
      </c>
      <c r="G23" s="60" t="s">
        <v>33</v>
      </c>
      <c r="H23" s="60" t="s">
        <v>33</v>
      </c>
      <c r="I23" s="60" t="s">
        <v>33</v>
      </c>
      <c r="J23" s="60" t="s">
        <v>33</v>
      </c>
      <c r="K23" s="60" t="s">
        <v>33</v>
      </c>
      <c r="L23" s="60" t="s">
        <v>33</v>
      </c>
      <c r="M23" s="60" t="s">
        <v>33</v>
      </c>
      <c r="N23" s="60" t="s">
        <v>33</v>
      </c>
      <c r="O23" s="59">
        <f t="shared" si="1"/>
        <v>1</v>
      </c>
      <c r="P23" s="53">
        <f t="shared" si="0"/>
        <v>7.6923076923076927E-2</v>
      </c>
      <c r="Q23" s="58" t="s">
        <v>34</v>
      </c>
      <c r="R23" s="58" t="s">
        <v>29</v>
      </c>
      <c r="S23" s="58" t="s">
        <v>694</v>
      </c>
      <c r="T23" s="58" t="s">
        <v>300</v>
      </c>
      <c r="U23" s="58" t="s">
        <v>301</v>
      </c>
    </row>
    <row r="24" spans="1:21" ht="14.5" customHeight="1">
      <c r="A24" s="57" t="s">
        <v>667</v>
      </c>
      <c r="B24" s="60" t="s">
        <v>33</v>
      </c>
      <c r="C24" s="60" t="s">
        <v>33</v>
      </c>
      <c r="D24" s="60" t="s">
        <v>33</v>
      </c>
      <c r="E24" s="60" t="s">
        <v>33</v>
      </c>
      <c r="F24" s="59" t="s">
        <v>27</v>
      </c>
      <c r="G24" s="60" t="s">
        <v>33</v>
      </c>
      <c r="H24" s="60" t="s">
        <v>33</v>
      </c>
      <c r="I24" s="60" t="s">
        <v>33</v>
      </c>
      <c r="J24" s="60" t="s">
        <v>33</v>
      </c>
      <c r="K24" s="60" t="s">
        <v>33</v>
      </c>
      <c r="L24" s="60" t="s">
        <v>33</v>
      </c>
      <c r="M24" s="60" t="s">
        <v>33</v>
      </c>
      <c r="N24" s="60" t="s">
        <v>33</v>
      </c>
      <c r="O24" s="59">
        <f t="shared" si="1"/>
        <v>1</v>
      </c>
      <c r="P24" s="53">
        <f t="shared" si="0"/>
        <v>7.6923076923076927E-2</v>
      </c>
      <c r="Q24" s="58" t="s">
        <v>34</v>
      </c>
      <c r="R24" s="58" t="s">
        <v>29</v>
      </c>
      <c r="S24" s="58" t="s">
        <v>307</v>
      </c>
      <c r="T24" s="58" t="s">
        <v>124</v>
      </c>
      <c r="U24" s="58" t="s">
        <v>308</v>
      </c>
    </row>
    <row r="25" spans="1:21" ht="14.5" customHeight="1">
      <c r="A25" s="57" t="s">
        <v>668</v>
      </c>
      <c r="B25" s="60" t="s">
        <v>33</v>
      </c>
      <c r="C25" s="60" t="s">
        <v>33</v>
      </c>
      <c r="D25" s="60" t="s">
        <v>33</v>
      </c>
      <c r="E25" s="60" t="s">
        <v>33</v>
      </c>
      <c r="F25" s="59" t="s">
        <v>27</v>
      </c>
      <c r="G25" s="60" t="s">
        <v>33</v>
      </c>
      <c r="H25" s="60" t="s">
        <v>33</v>
      </c>
      <c r="I25" s="60" t="s">
        <v>33</v>
      </c>
      <c r="J25" s="60" t="s">
        <v>33</v>
      </c>
      <c r="K25" s="60" t="s">
        <v>33</v>
      </c>
      <c r="L25" s="60" t="s">
        <v>33</v>
      </c>
      <c r="M25" s="60" t="s">
        <v>33</v>
      </c>
      <c r="N25" s="60" t="s">
        <v>33</v>
      </c>
      <c r="O25" s="59">
        <f t="shared" si="1"/>
        <v>1</v>
      </c>
      <c r="P25" s="53">
        <f t="shared" si="0"/>
        <v>7.6923076923076927E-2</v>
      </c>
      <c r="Q25" s="58" t="s">
        <v>34</v>
      </c>
      <c r="R25" s="58" t="s">
        <v>29</v>
      </c>
      <c r="S25" s="58" t="s">
        <v>694</v>
      </c>
      <c r="T25" s="58" t="s">
        <v>300</v>
      </c>
      <c r="U25" s="58" t="s">
        <v>301</v>
      </c>
    </row>
    <row r="26" spans="1:21" ht="14.5" customHeight="1">
      <c r="A26" s="57" t="s">
        <v>669</v>
      </c>
      <c r="B26" s="60" t="s">
        <v>33</v>
      </c>
      <c r="C26" s="60" t="s">
        <v>33</v>
      </c>
      <c r="D26" s="60" t="s">
        <v>33</v>
      </c>
      <c r="E26" s="60" t="s">
        <v>33</v>
      </c>
      <c r="F26" s="59" t="s">
        <v>27</v>
      </c>
      <c r="G26" s="60" t="s">
        <v>33</v>
      </c>
      <c r="H26" s="60" t="s">
        <v>33</v>
      </c>
      <c r="I26" s="60" t="s">
        <v>33</v>
      </c>
      <c r="J26" s="60" t="s">
        <v>33</v>
      </c>
      <c r="K26" s="60" t="s">
        <v>33</v>
      </c>
      <c r="L26" s="60" t="s">
        <v>33</v>
      </c>
      <c r="M26" s="60" t="s">
        <v>33</v>
      </c>
      <c r="N26" s="60" t="s">
        <v>33</v>
      </c>
      <c r="O26" s="59">
        <f t="shared" si="1"/>
        <v>1</v>
      </c>
      <c r="P26" s="53">
        <f t="shared" si="0"/>
        <v>7.6923076923076927E-2</v>
      </c>
      <c r="Q26" s="58" t="s">
        <v>34</v>
      </c>
      <c r="R26" s="58" t="s">
        <v>29</v>
      </c>
      <c r="S26" s="58" t="s">
        <v>50</v>
      </c>
      <c r="T26" s="58" t="s">
        <v>231</v>
      </c>
      <c r="U26" s="58" t="s">
        <v>289</v>
      </c>
    </row>
    <row r="27" spans="1:21" ht="14.5" customHeight="1">
      <c r="A27" s="57" t="s">
        <v>670</v>
      </c>
      <c r="B27" s="60" t="s">
        <v>33</v>
      </c>
      <c r="C27" s="60" t="s">
        <v>33</v>
      </c>
      <c r="D27" s="60" t="s">
        <v>33</v>
      </c>
      <c r="E27" s="60" t="s">
        <v>33</v>
      </c>
      <c r="F27" s="59" t="s">
        <v>27</v>
      </c>
      <c r="G27" s="60" t="s">
        <v>33</v>
      </c>
      <c r="H27" s="60" t="s">
        <v>33</v>
      </c>
      <c r="I27" s="60" t="s">
        <v>33</v>
      </c>
      <c r="J27" s="60" t="s">
        <v>33</v>
      </c>
      <c r="K27" s="60" t="s">
        <v>33</v>
      </c>
      <c r="L27" s="60" t="s">
        <v>33</v>
      </c>
      <c r="M27" s="59" t="s">
        <v>27</v>
      </c>
      <c r="N27" s="60" t="s">
        <v>33</v>
      </c>
      <c r="O27" s="59">
        <f t="shared" si="1"/>
        <v>2</v>
      </c>
      <c r="P27" s="53">
        <f t="shared" si="0"/>
        <v>0.15384615384615385</v>
      </c>
      <c r="Q27" s="64" t="s">
        <v>34</v>
      </c>
      <c r="R27" s="64" t="s">
        <v>37</v>
      </c>
      <c r="S27" s="64" t="s">
        <v>695</v>
      </c>
      <c r="T27" s="64" t="s">
        <v>114</v>
      </c>
      <c r="U27" s="64" t="s">
        <v>115</v>
      </c>
    </row>
    <row r="28" spans="1:21" ht="14.5" customHeight="1">
      <c r="A28" s="57" t="s">
        <v>671</v>
      </c>
      <c r="B28" s="60" t="s">
        <v>33</v>
      </c>
      <c r="C28" s="60" t="s">
        <v>33</v>
      </c>
      <c r="D28" s="60" t="s">
        <v>33</v>
      </c>
      <c r="E28" s="60" t="s">
        <v>33</v>
      </c>
      <c r="F28" s="60" t="s">
        <v>33</v>
      </c>
      <c r="G28" s="60" t="s">
        <v>33</v>
      </c>
      <c r="H28" s="59" t="s">
        <v>27</v>
      </c>
      <c r="I28" s="60" t="s">
        <v>33</v>
      </c>
      <c r="J28" s="60" t="s">
        <v>33</v>
      </c>
      <c r="K28" s="60" t="s">
        <v>33</v>
      </c>
      <c r="L28" s="60" t="s">
        <v>33</v>
      </c>
      <c r="M28" s="59" t="s">
        <v>27</v>
      </c>
      <c r="N28" s="60" t="s">
        <v>33</v>
      </c>
      <c r="O28" s="59">
        <f t="shared" si="1"/>
        <v>2</v>
      </c>
      <c r="P28" s="53">
        <f t="shared" si="0"/>
        <v>0.15384615384615385</v>
      </c>
      <c r="Q28" s="64" t="s">
        <v>34</v>
      </c>
      <c r="R28" s="64" t="s">
        <v>29</v>
      </c>
      <c r="S28" s="64" t="s">
        <v>571</v>
      </c>
      <c r="T28" s="64" t="s">
        <v>572</v>
      </c>
      <c r="U28" s="64" t="s">
        <v>573</v>
      </c>
    </row>
    <row r="29" spans="1:21" ht="14.5" customHeight="1">
      <c r="A29" s="57"/>
      <c r="B29" s="60"/>
      <c r="C29" s="60"/>
      <c r="D29" s="60"/>
      <c r="E29" s="60"/>
      <c r="F29" s="59"/>
      <c r="G29" s="60"/>
      <c r="H29" s="60"/>
      <c r="I29" s="60"/>
      <c r="J29" s="60"/>
      <c r="K29" s="60"/>
      <c r="L29" s="60"/>
      <c r="M29" s="60"/>
      <c r="N29" s="60"/>
      <c r="O29" s="59"/>
      <c r="P29" s="53"/>
      <c r="Q29" s="64" t="s">
        <v>34</v>
      </c>
      <c r="R29" s="64" t="s">
        <v>29</v>
      </c>
      <c r="S29" s="64" t="s">
        <v>694</v>
      </c>
      <c r="T29" s="64" t="s">
        <v>100</v>
      </c>
      <c r="U29" s="64" t="s">
        <v>101</v>
      </c>
    </row>
    <row r="30" spans="1:21" ht="14.5" customHeight="1">
      <c r="A30" s="57" t="s">
        <v>672</v>
      </c>
      <c r="B30" s="60" t="s">
        <v>33</v>
      </c>
      <c r="C30" s="60" t="s">
        <v>33</v>
      </c>
      <c r="D30" s="60" t="s">
        <v>33</v>
      </c>
      <c r="E30" s="60" t="s">
        <v>33</v>
      </c>
      <c r="F30" s="60" t="s">
        <v>33</v>
      </c>
      <c r="G30" s="60" t="s">
        <v>33</v>
      </c>
      <c r="H30" s="59" t="s">
        <v>27</v>
      </c>
      <c r="I30" s="60" t="s">
        <v>33</v>
      </c>
      <c r="J30" s="60" t="s">
        <v>33</v>
      </c>
      <c r="K30" s="60" t="s">
        <v>33</v>
      </c>
      <c r="L30" s="60" t="s">
        <v>33</v>
      </c>
      <c r="M30" s="60" t="s">
        <v>33</v>
      </c>
      <c r="N30" s="60" t="s">
        <v>33</v>
      </c>
      <c r="O30" s="59">
        <f t="shared" si="1"/>
        <v>1</v>
      </c>
      <c r="P30" s="53">
        <f t="shared" si="0"/>
        <v>7.6923076923076927E-2</v>
      </c>
      <c r="Q30" s="64" t="s">
        <v>34</v>
      </c>
      <c r="R30" s="64" t="s">
        <v>29</v>
      </c>
      <c r="S30" s="64" t="s">
        <v>571</v>
      </c>
      <c r="T30" s="64" t="s">
        <v>572</v>
      </c>
      <c r="U30" s="64" t="s">
        <v>573</v>
      </c>
    </row>
    <row r="31" spans="1:21" ht="14.5" customHeight="1">
      <c r="A31" s="57"/>
      <c r="B31" s="60"/>
      <c r="C31" s="60"/>
      <c r="D31" s="60"/>
      <c r="E31" s="60"/>
      <c r="F31" s="60"/>
      <c r="G31" s="60"/>
      <c r="H31" s="59"/>
      <c r="I31" s="60"/>
      <c r="J31" s="60"/>
      <c r="K31" s="60"/>
      <c r="L31" s="60"/>
      <c r="M31" s="60"/>
      <c r="N31" s="60"/>
      <c r="O31" s="59"/>
      <c r="P31" s="53"/>
      <c r="Q31" s="64" t="s">
        <v>34</v>
      </c>
      <c r="R31" s="64" t="s">
        <v>29</v>
      </c>
      <c r="S31" s="64" t="s">
        <v>694</v>
      </c>
      <c r="T31" s="64" t="s">
        <v>100</v>
      </c>
      <c r="U31" s="64" t="s">
        <v>101</v>
      </c>
    </row>
    <row r="32" spans="1:21" ht="14.5" customHeight="1">
      <c r="A32" s="57" t="s">
        <v>673</v>
      </c>
      <c r="B32" s="60" t="s">
        <v>33</v>
      </c>
      <c r="C32" s="60" t="s">
        <v>33</v>
      </c>
      <c r="D32" s="60" t="s">
        <v>33</v>
      </c>
      <c r="E32" s="60" t="s">
        <v>33</v>
      </c>
      <c r="F32" s="60" t="s">
        <v>33</v>
      </c>
      <c r="G32" s="60" t="s">
        <v>33</v>
      </c>
      <c r="H32" s="60" t="s">
        <v>33</v>
      </c>
      <c r="I32" s="60" t="s">
        <v>33</v>
      </c>
      <c r="J32" s="59" t="s">
        <v>27</v>
      </c>
      <c r="K32" s="60" t="s">
        <v>33</v>
      </c>
      <c r="L32" s="60" t="s">
        <v>33</v>
      </c>
      <c r="M32" s="60" t="s">
        <v>33</v>
      </c>
      <c r="N32" s="60" t="s">
        <v>33</v>
      </c>
      <c r="O32" s="59">
        <f>COUNTIF(B32:N32,"✔")</f>
        <v>1</v>
      </c>
      <c r="P32" s="53">
        <f t="shared" si="0"/>
        <v>7.6923076923076927E-2</v>
      </c>
      <c r="Q32" s="58" t="s">
        <v>34</v>
      </c>
      <c r="R32" s="58" t="s">
        <v>29</v>
      </c>
      <c r="S32" s="58" t="s">
        <v>50</v>
      </c>
      <c r="T32" s="58" t="s">
        <v>231</v>
      </c>
      <c r="U32" s="58" t="s">
        <v>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320870-547B-413E-A4F1-44CD764D23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21</vt:i4>
      </vt:variant>
    </vt:vector>
  </HeadingPairs>
  <TitlesOfParts>
    <vt:vector size="21" baseType="lpstr">
      <vt:lpstr>Overview</vt:lpstr>
      <vt:lpstr>M1</vt:lpstr>
      <vt:lpstr>M2</vt:lpstr>
      <vt:lpstr>M3.1</vt:lpstr>
      <vt:lpstr>M3.2</vt:lpstr>
      <vt:lpstr>M4</vt:lpstr>
      <vt:lpstr>M5</vt:lpstr>
      <vt:lpstr>M6</vt:lpstr>
      <vt:lpstr>M7</vt:lpstr>
      <vt:lpstr>M8</vt:lpstr>
      <vt:lpstr>M9</vt:lpstr>
      <vt:lpstr>M10.1</vt:lpstr>
      <vt:lpstr>M10.2</vt:lpstr>
      <vt:lpstr>M10.3</vt:lpstr>
      <vt:lpstr>M10.4</vt:lpstr>
      <vt:lpstr>M10.5</vt:lpstr>
      <vt:lpstr>M10.6</vt:lpstr>
      <vt:lpstr>M11.1</vt:lpstr>
      <vt:lpstr>M11.2</vt:lpstr>
      <vt:lpstr>M12</vt:lpstr>
      <vt:lpstr>M13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Daan Schlosser</cp:lastModifiedBy>
  <cp:revision/>
  <dcterms:created xsi:type="dcterms:W3CDTF">2026-02-16T15:38:49Z</dcterms:created>
  <dcterms:modified xsi:type="dcterms:W3CDTF">2026-04-11T21:05:54Z</dcterms:modified>
  <cp:category/>
  <cp:contentStatus/>
</cp:coreProperties>
</file>